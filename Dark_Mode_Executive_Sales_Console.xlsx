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C:\Users\Anish\Downloads\"/>
    </mc:Choice>
  </mc:AlternateContent>
  <xr:revisionPtr revIDLastSave="0" documentId="8_{80372EEF-2596-4447-B352-A5E9F30DA0C2}" xr6:coauthVersionLast="47" xr6:coauthVersionMax="47" xr10:uidLastSave="{00000000-0000-0000-0000-000000000000}"/>
  <bookViews>
    <workbookView xWindow="-108" yWindow="-108" windowWidth="23256" windowHeight="13176" activeTab="3" xr2:uid="{30DAB853-E418-4406-98EE-D9FA487B6244}"/>
  </bookViews>
  <sheets>
    <sheet name="Raw_Data" sheetId="1" r:id="rId1"/>
    <sheet name="Pivot_Engine" sheetId="2" r:id="rId2"/>
    <sheet name="Dashboard" sheetId="3" r:id="rId3"/>
    <sheet name="Lookup_Reference" sheetId="4" r:id="rId4"/>
  </sheets>
  <definedNames>
    <definedName name="Slicer_Category">#N/A</definedName>
    <definedName name="Slicer_Region">#N/A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5"/>
        <x14:slicerCache r:id="rId6"/>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9" i="3" l="1"/>
  <c r="H10" i="3"/>
  <c r="H11" i="3"/>
  <c r="G9" i="3"/>
  <c r="G10" i="3"/>
  <c r="G11" i="3"/>
  <c r="F9" i="3"/>
  <c r="F10" i="3"/>
  <c r="F11" i="3"/>
  <c r="D9" i="3"/>
  <c r="D10" i="3"/>
  <c r="D11" i="3"/>
  <c r="D12" i="3"/>
  <c r="C9" i="3"/>
  <c r="C10" i="3"/>
  <c r="C11" i="3"/>
  <c r="C12" i="3"/>
  <c r="B9" i="3"/>
  <c r="B10" i="3"/>
  <c r="B11" i="3"/>
  <c r="B12" i="3"/>
  <c r="H5" i="3"/>
  <c r="F5" i="3"/>
  <c r="D5" i="3"/>
  <c r="B5" i="3"/>
  <c r="G3" i="2"/>
  <c r="G4" i="2"/>
  <c r="G2" i="2"/>
  <c r="F3" i="2"/>
  <c r="F4" i="2"/>
  <c r="F2" i="2"/>
  <c r="B3" i="2"/>
  <c r="B4" i="2"/>
  <c r="B5" i="2"/>
  <c r="C3" i="2"/>
  <c r="C4" i="2"/>
  <c r="C5" i="2"/>
  <c r="C2" i="2"/>
  <c r="B2" i="2"/>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7" i="1"/>
  <c r="H6" i="1"/>
  <c r="H5" i="1"/>
  <c r="H4" i="1"/>
  <c r="H3" i="1"/>
  <c r="H2" i="1"/>
</calcChain>
</file>

<file path=xl/sharedStrings.xml><?xml version="1.0" encoding="utf-8"?>
<sst xmlns="http://schemas.openxmlformats.org/spreadsheetml/2006/main" count="551" uniqueCount="152">
  <si>
    <t>Order_ID</t>
  </si>
  <si>
    <t>Order_Date</t>
  </si>
  <si>
    <t>Sales_Region</t>
  </si>
  <si>
    <t>Product_Category</t>
  </si>
  <si>
    <t>Product_Name</t>
  </si>
  <si>
    <t>Units_Sold</t>
  </si>
  <si>
    <t>Unit_Price_USD</t>
  </si>
  <si>
    <t>ORD-5001</t>
  </si>
  <si>
    <t>North America</t>
  </si>
  <si>
    <t>Hardware</t>
  </si>
  <si>
    <t>UltraBook Pro 15"</t>
  </si>
  <si>
    <t>Marcus Vance</t>
  </si>
  <si>
    <t>ORD-5002</t>
  </si>
  <si>
    <t>Europe</t>
  </si>
  <si>
    <t>Software</t>
  </si>
  <si>
    <t>CloudSync Enterprise (Annual)</t>
  </si>
  <si>
    <t>Elena Rostova</t>
  </si>
  <si>
    <t>ORD-5003</t>
  </si>
  <si>
    <t>Asia-Pacific</t>
  </si>
  <si>
    <t>Apex Ultra Monitor 27"</t>
  </si>
  <si>
    <t>Kenji Sato</t>
  </si>
  <si>
    <t>ORD-5004</t>
  </si>
  <si>
    <t>Services</t>
  </si>
  <si>
    <t>Cloud Migration Consulting</t>
  </si>
  <si>
    <t>Sarah Jenkins</t>
  </si>
  <si>
    <t>ORD-5005</t>
  </si>
  <si>
    <t>Latin America</t>
  </si>
  <si>
    <t>SecureVault NAS 4-Bay</t>
  </si>
  <si>
    <t>Carlos Mendez</t>
  </si>
  <si>
    <t>ORD-5006</t>
  </si>
  <si>
    <t>DataGuard Security Suite</t>
  </si>
  <si>
    <t>ORD-5007</t>
  </si>
  <si>
    <t>ORD-5008</t>
  </si>
  <si>
    <t>AI Analytics Integration</t>
  </si>
  <si>
    <t>ORD-5009</t>
  </si>
  <si>
    <t>ORD-5010</t>
  </si>
  <si>
    <t>ORD-5011</t>
  </si>
  <si>
    <t>ORD-5012</t>
  </si>
  <si>
    <t>ORD-5013</t>
  </si>
  <si>
    <t>ORD-5014</t>
  </si>
  <si>
    <t>ORD-5015</t>
  </si>
  <si>
    <t>ORD-5016</t>
  </si>
  <si>
    <t>ORD-5017</t>
  </si>
  <si>
    <t>ORD-5018</t>
  </si>
  <si>
    <t>ORD-5019</t>
  </si>
  <si>
    <t>ORD-5020</t>
  </si>
  <si>
    <t>ORD-5021</t>
  </si>
  <si>
    <t>ORD-5022</t>
  </si>
  <si>
    <t>ORD-5023</t>
  </si>
  <si>
    <t>ORD-5024</t>
  </si>
  <si>
    <t>ORD-5025</t>
  </si>
  <si>
    <t>ORD-5026</t>
  </si>
  <si>
    <t>ORD-5027</t>
  </si>
  <si>
    <t>ORD-5028</t>
  </si>
  <si>
    <t>ORD-5029</t>
  </si>
  <si>
    <t>ORD-5030</t>
  </si>
  <si>
    <t>ORD-5031</t>
  </si>
  <si>
    <t>ORD-5032</t>
  </si>
  <si>
    <t>ORD-5033</t>
  </si>
  <si>
    <t>ORD-5034</t>
  </si>
  <si>
    <t>ORD-5035</t>
  </si>
  <si>
    <t>ORD-5036</t>
  </si>
  <si>
    <t>ORD-5037</t>
  </si>
  <si>
    <t>ORD-5038</t>
  </si>
  <si>
    <t>ORD-5039</t>
  </si>
  <si>
    <t>ORD-5040</t>
  </si>
  <si>
    <t>ORD-5041</t>
  </si>
  <si>
    <t>ORD-5042</t>
  </si>
  <si>
    <t>ORD-5043</t>
  </si>
  <si>
    <t>ORD-5044</t>
  </si>
  <si>
    <t>ORD-5045</t>
  </si>
  <si>
    <t>ORD-5046</t>
  </si>
  <si>
    <t>ORD-5047</t>
  </si>
  <si>
    <t>ORD-5048</t>
  </si>
  <si>
    <t>ORD-5049</t>
  </si>
  <si>
    <t>ORD-5050</t>
  </si>
  <si>
    <t>ORD-5051</t>
  </si>
  <si>
    <t>ORD-5052</t>
  </si>
  <si>
    <t>ORD-5053</t>
  </si>
  <si>
    <t>ORD-5054</t>
  </si>
  <si>
    <t>ORD-5055</t>
  </si>
  <si>
    <t>ORD-5056</t>
  </si>
  <si>
    <t>ORD-5057</t>
  </si>
  <si>
    <t>ORD-5058</t>
  </si>
  <si>
    <t>ORD-5059</t>
  </si>
  <si>
    <t>ORD-5060</t>
  </si>
  <si>
    <t>ORD-5061</t>
  </si>
  <si>
    <t>ORD-5062</t>
  </si>
  <si>
    <t>ORD-5063</t>
  </si>
  <si>
    <t>ORD-5064</t>
  </si>
  <si>
    <t>ORD-5065</t>
  </si>
  <si>
    <t>ORD-5066</t>
  </si>
  <si>
    <t>ORD-5067</t>
  </si>
  <si>
    <t>ORD-5068</t>
  </si>
  <si>
    <t>ORD-5069</t>
  </si>
  <si>
    <t>ORD-5070</t>
  </si>
  <si>
    <t>ORD-5071</t>
  </si>
  <si>
    <t>ORD-5072</t>
  </si>
  <si>
    <t>ORD-5073</t>
  </si>
  <si>
    <t>ORD-5074</t>
  </si>
  <si>
    <t>ORD-5075</t>
  </si>
  <si>
    <t>ORD-5076</t>
  </si>
  <si>
    <t>ORD-5077</t>
  </si>
  <si>
    <t>ORD-5078</t>
  </si>
  <si>
    <t>ORD-5079</t>
  </si>
  <si>
    <t>ORD-5080</t>
  </si>
  <si>
    <t>ORD-5081</t>
  </si>
  <si>
    <t>ORD-5082</t>
  </si>
  <si>
    <t>ORD-5083</t>
  </si>
  <si>
    <t>ORD-5084</t>
  </si>
  <si>
    <t>ORD-5085</t>
  </si>
  <si>
    <t>ORD-5086</t>
  </si>
  <si>
    <t>ORD-5087</t>
  </si>
  <si>
    <t>ORD-5088</t>
  </si>
  <si>
    <t>ORD-5089</t>
  </si>
  <si>
    <t>ORD-5090</t>
  </si>
  <si>
    <t>ORD-5091</t>
  </si>
  <si>
    <t>ORD-5092</t>
  </si>
  <si>
    <t>ORD-5093</t>
  </si>
  <si>
    <t>ORD-5094</t>
  </si>
  <si>
    <t>ORD-5095</t>
  </si>
  <si>
    <t>ORD-5096</t>
  </si>
  <si>
    <t>ORD-5097</t>
  </si>
  <si>
    <t>ORD-5098</t>
  </si>
  <si>
    <t>ORD-5099</t>
  </si>
  <si>
    <t>ORD-5100</t>
  </si>
  <si>
    <t>Total Revenue</t>
  </si>
  <si>
    <t>Sales Rep</t>
  </si>
  <si>
    <t>Total_Units_Sold</t>
  </si>
  <si>
    <t>Total_Revenue_USD</t>
  </si>
  <si>
    <t xml:space="preserve"> Europe</t>
  </si>
  <si>
    <t>Category_Units</t>
  </si>
  <si>
    <t>Category_Revenue_USD</t>
  </si>
  <si>
    <t xml:space="preserve"> Software</t>
  </si>
  <si>
    <t>EXECUTIVE SALES &amp; REVENUE ANALYTICS CONSOLE</t>
  </si>
  <si>
    <t>Real-Time Regional &amp; Category Performance Intelligence</t>
  </si>
  <si>
    <t>TOTAL REVENUE</t>
  </si>
  <si>
    <t>TOTAL UNITS SOLD</t>
  </si>
  <si>
    <t>TOTAL TRANSACTIONS</t>
  </si>
  <si>
    <t>AVG ORDER VALUE</t>
  </si>
  <si>
    <t>Region</t>
  </si>
  <si>
    <t>Units</t>
  </si>
  <si>
    <t>Revenue</t>
  </si>
  <si>
    <t>Category</t>
  </si>
  <si>
    <t>Performance_Tier</t>
  </si>
  <si>
    <t>Min_Sales_Volume</t>
  </si>
  <si>
    <t>Commission_Rate</t>
  </si>
  <si>
    <t>Standard</t>
  </si>
  <si>
    <t>Senior</t>
  </si>
  <si>
    <t>Executive</t>
  </si>
  <si>
    <t>Quarterly_Target_USD</t>
  </si>
  <si>
    <t>Regional_Manager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</si>
</sst>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9" formatCode="[$$-2809]#,##0.00"/>
    <numFmt numFmtId="171" formatCode="[$$-C09]#,##0.00"/>
  </numFmts>
  <fonts count="12">
    <font>
      <sz val="11"/>
      <color theme="1"/>
      <name val="Aptos Narrow"/>
      <family val="2"/>
      <scheme val="minor"/>
    </font>
    <font>
      <b/>
      <sz val="11"/>
      <color theme="0"/>
      <name val="Aptos Narrow"/>
      <family val="2"/>
      <scheme val="minor"/>
    </font>
    <font>
      <sz val="11"/>
      <color theme="0"/>
      <name val="Aptos Narrow"/>
      <family val="2"/>
      <scheme val="minor"/>
    </font>
    <font>
      <sz val="11"/>
      <color rgb="FF1F1F1F"/>
      <name val="Arial"/>
      <family val="2"/>
    </font>
    <font>
      <sz val="9"/>
      <color rgb="FF1F1F1F"/>
      <name val="Google Sans Text"/>
      <family val="2"/>
    </font>
    <font>
      <sz val="10"/>
      <color theme="0"/>
      <name val="Arial Unicode MS"/>
    </font>
    <font>
      <b/>
      <sz val="14"/>
      <color rgb="FFFFFFFF"/>
      <name val="Aptos Narrow"/>
      <family val="2"/>
      <scheme val="minor"/>
    </font>
    <font>
      <i/>
      <sz val="9"/>
      <color rgb="FFA0A0A0"/>
      <name val="Aptos Narrow"/>
      <family val="2"/>
      <scheme val="minor"/>
    </font>
    <font>
      <sz val="11"/>
      <color theme="4"/>
      <name val="Aptos Narrow"/>
      <family val="2"/>
      <scheme val="minor"/>
    </font>
    <font>
      <sz val="11"/>
      <color theme="9" tint="0.39997558519241921"/>
      <name val="Aptos Narrow"/>
      <family val="2"/>
      <scheme val="minor"/>
    </font>
    <font>
      <sz val="11"/>
      <color rgb="FFFFFFFF"/>
      <name val="Aptos Narrow"/>
      <family val="2"/>
      <scheme val="minor"/>
    </font>
    <font>
      <b/>
      <sz val="16"/>
      <color theme="1"/>
      <name val="Aptos Narrow"/>
      <family val="2"/>
      <scheme val="minor"/>
    </font>
  </fonts>
  <fills count="6">
    <fill>
      <patternFill patternType="none"/>
    </fill>
    <fill>
      <patternFill patternType="gray125"/>
    </fill>
    <fill>
      <patternFill patternType="solid">
        <fgColor rgb="FF121212"/>
        <bgColor indexed="64"/>
      </patternFill>
    </fill>
    <fill>
      <patternFill patternType="solid">
        <fgColor rgb="FF181818"/>
        <bgColor indexed="64"/>
      </patternFill>
    </fill>
    <fill>
      <patternFill patternType="solid">
        <fgColor rgb="FF1E1E1E"/>
        <bgColor indexed="64"/>
      </patternFill>
    </fill>
    <fill>
      <patternFill patternType="solid">
        <fgColor rgb="FFE0E0E0"/>
        <bgColor indexed="64"/>
      </patternFill>
    </fill>
  </fills>
  <borders count="2">
    <border>
      <left/>
      <right/>
      <top/>
      <bottom/>
      <diagonal/>
    </border>
    <border>
      <left style="medium">
        <color rgb="FFC4C7C5"/>
      </left>
      <right style="medium">
        <color rgb="FFC4C7C5"/>
      </right>
      <top style="medium">
        <color rgb="FFC4C7C5"/>
      </top>
      <bottom style="medium">
        <color rgb="FFC4C7C5"/>
      </bottom>
      <diagonal/>
    </border>
  </borders>
  <cellStyleXfs count="1">
    <xf numFmtId="0" fontId="0" fillId="0" borderId="0"/>
  </cellStyleXfs>
  <cellXfs count="26">
    <xf numFmtId="0" fontId="0" fillId="0" borderId="0" xfId="0"/>
    <xf numFmtId="0" fontId="3" fillId="0" borderId="1" xfId="0" applyFont="1" applyBorder="1" applyAlignment="1">
      <alignment horizontal="left" vertical="center" wrapText="1" indent="1" readingOrder="1"/>
    </xf>
    <xf numFmtId="14" fontId="3" fillId="0" borderId="1" xfId="0" applyNumberFormat="1" applyFont="1" applyBorder="1" applyAlignment="1">
      <alignment horizontal="left" vertical="center" wrapText="1" indent="1" readingOrder="1"/>
    </xf>
    <xf numFmtId="0" fontId="4" fillId="0" borderId="1" xfId="0" applyFont="1" applyBorder="1" applyAlignment="1">
      <alignment horizontal="left" vertical="center" wrapText="1" indent="1" readingOrder="1"/>
    </xf>
    <xf numFmtId="0" fontId="0" fillId="2" borderId="0" xfId="0" applyFill="1"/>
    <xf numFmtId="0" fontId="5" fillId="2" borderId="0" xfId="0" applyFont="1" applyFill="1"/>
    <xf numFmtId="0" fontId="2" fillId="2" borderId="0" xfId="0" applyFont="1" applyFill="1"/>
    <xf numFmtId="169" fontId="0" fillId="2" borderId="0" xfId="0" applyNumberFormat="1" applyFill="1"/>
    <xf numFmtId="169" fontId="2" fillId="2" borderId="0" xfId="0" applyNumberFormat="1" applyFont="1" applyFill="1"/>
    <xf numFmtId="0" fontId="0" fillId="3" borderId="0" xfId="0" applyFill="1"/>
    <xf numFmtId="0" fontId="6" fillId="4" borderId="0" xfId="0" applyFont="1" applyFill="1" applyAlignment="1">
      <alignment horizontal="center"/>
    </xf>
    <xf numFmtId="169" fontId="2" fillId="3" borderId="0" xfId="0" applyNumberFormat="1" applyFont="1" applyFill="1" applyAlignment="1">
      <alignment horizontal="center" vertical="center"/>
    </xf>
    <xf numFmtId="0" fontId="1" fillId="3" borderId="0" xfId="0" applyFont="1" applyFill="1" applyAlignment="1">
      <alignment horizontal="center"/>
    </xf>
    <xf numFmtId="0" fontId="7" fillId="3" borderId="0" xfId="0" applyFont="1" applyFill="1" applyAlignment="1">
      <alignment horizontal="left" vertical="top"/>
    </xf>
    <xf numFmtId="0" fontId="0" fillId="3" borderId="0" xfId="0" applyFill="1" applyAlignment="1">
      <alignment horizontal="left" vertical="top"/>
    </xf>
    <xf numFmtId="171" fontId="2" fillId="3" borderId="0" xfId="0" applyNumberFormat="1" applyFont="1" applyFill="1" applyAlignment="1">
      <alignment horizontal="center" vertical="center"/>
    </xf>
    <xf numFmtId="2" fontId="2" fillId="3" borderId="0" xfId="0" applyNumberFormat="1" applyFont="1" applyFill="1" applyAlignment="1">
      <alignment horizontal="center" vertical="center"/>
    </xf>
    <xf numFmtId="0" fontId="2" fillId="3" borderId="0" xfId="0" applyFont="1" applyFill="1"/>
    <xf numFmtId="0" fontId="8" fillId="3" borderId="0" xfId="0" applyFont="1" applyFill="1"/>
    <xf numFmtId="0" fontId="9" fillId="3" borderId="0" xfId="0" applyFont="1" applyFill="1"/>
    <xf numFmtId="10" fontId="0" fillId="2" borderId="0" xfId="0" applyNumberFormat="1" applyFill="1"/>
    <xf numFmtId="0" fontId="10" fillId="4" borderId="0" xfId="0" applyFont="1" applyFill="1"/>
    <xf numFmtId="10" fontId="10" fillId="4" borderId="0" xfId="0" applyNumberFormat="1" applyFont="1" applyFill="1"/>
    <xf numFmtId="0" fontId="0" fillId="5" borderId="0" xfId="0" applyFill="1"/>
    <xf numFmtId="10" fontId="0" fillId="5" borderId="0" xfId="0" applyNumberFormat="1" applyFill="1"/>
    <xf numFmtId="0" fontId="11" fillId="0" borderId="0" xfId="0" applyFont="1"/>
  </cellXfs>
  <cellStyles count="1">
    <cellStyle name="Normal" xfId="0" builtinId="0"/>
  </cellStyles>
  <dxfs count="32">
    <dxf>
      <fill>
        <patternFill>
          <bgColor theme="7" tint="0.59996337778862885"/>
        </patternFill>
      </fill>
    </dxf>
    <dxf>
      <fill>
        <patternFill>
          <bgColor theme="9" tint="0.59996337778862885"/>
        </patternFill>
      </fill>
    </dxf>
    <dxf>
      <fill>
        <patternFill patternType="solid">
          <fgColor indexed="64"/>
          <bgColor rgb="FFE0E0E0"/>
        </patternFill>
      </fill>
    </dxf>
    <dxf>
      <fill>
        <patternFill patternType="solid">
          <fgColor indexed="64"/>
          <bgColor rgb="FFE0E0E0"/>
        </patternFill>
      </fill>
    </dxf>
    <dxf>
      <fill>
        <patternFill patternType="solid">
          <fgColor indexed="64"/>
          <bgColor rgb="FFE0E0E0"/>
        </patternFill>
      </fill>
    </dxf>
    <dxf>
      <fill>
        <patternFill patternType="solid">
          <fgColor indexed="64"/>
          <bgColor rgb="FFE0E0E0"/>
        </patternFill>
      </fill>
    </dxf>
    <dxf>
      <fill>
        <patternFill patternType="solid">
          <fgColor indexed="64"/>
          <bgColor rgb="FFE0E0E0"/>
        </patternFill>
      </fill>
    </dxf>
    <dxf>
      <numFmt numFmtId="14" formatCode="0.00%"/>
      <fill>
        <patternFill patternType="solid">
          <fgColor indexed="64"/>
          <bgColor rgb="FFE0E0E0"/>
        </patternFill>
      </fill>
    </dxf>
    <dxf>
      <fill>
        <patternFill patternType="solid">
          <fgColor indexed="64"/>
          <bgColor rgb="FFE0E0E0"/>
        </patternFill>
      </fill>
    </dxf>
    <dxf>
      <fill>
        <patternFill patternType="solid">
          <fgColor indexed="64"/>
          <bgColor rgb="FFE0E0E0"/>
        </patternFill>
      </fill>
    </dxf>
    <dxf>
      <font>
        <strike val="0"/>
        <outline val="0"/>
        <shadow val="0"/>
        <u val="none"/>
        <vertAlign val="baseline"/>
        <sz val="11"/>
        <color rgb="FFFFFFFF"/>
        <name val="Aptos Narrow"/>
        <family val="2"/>
        <scheme val="minor"/>
      </font>
      <fill>
        <patternFill patternType="solid">
          <fgColor indexed="64"/>
          <bgColor rgb="FF1E1E1E"/>
        </patternFill>
      </fill>
    </dxf>
    <dxf>
      <font>
        <strike val="0"/>
        <outline val="0"/>
        <shadow val="0"/>
        <u val="none"/>
        <vertAlign val="baseline"/>
        <sz val="11"/>
        <color rgb="FFFFFFFF"/>
        <name val="Aptos Narrow"/>
        <family val="2"/>
        <scheme val="minor"/>
      </font>
      <fill>
        <patternFill patternType="solid">
          <fgColor indexed="64"/>
          <bgColor rgb="FF1E1E1E"/>
        </patternFill>
      </fill>
    </dxf>
    <dxf>
      <font>
        <b val="0"/>
        <i val="0"/>
        <strike val="0"/>
        <condense val="0"/>
        <extend val="0"/>
        <outline val="0"/>
        <shadow val="0"/>
        <u val="none"/>
        <vertAlign val="baseline"/>
        <sz val="11"/>
        <color theme="9" tint="0.39997558519241921"/>
        <name val="Aptos Narrow"/>
        <family val="2"/>
        <scheme val="minor"/>
      </font>
      <fill>
        <patternFill patternType="solid">
          <fgColor indexed="64"/>
          <bgColor rgb="FF181818"/>
        </patternFill>
      </fill>
    </dxf>
    <dxf>
      <font>
        <b val="0"/>
        <i val="0"/>
        <strike val="0"/>
        <condense val="0"/>
        <extend val="0"/>
        <outline val="0"/>
        <shadow val="0"/>
        <u val="none"/>
        <vertAlign val="baseline"/>
        <sz val="11"/>
        <color theme="0"/>
        <name val="Aptos Narrow"/>
        <family val="2"/>
        <scheme val="minor"/>
      </font>
      <numFmt numFmtId="0" formatCode="General"/>
      <fill>
        <patternFill patternType="solid">
          <fgColor indexed="64"/>
          <bgColor rgb="FF181818"/>
        </patternFill>
      </fill>
    </dxf>
    <dxf>
      <font>
        <b val="0"/>
        <i val="0"/>
        <strike val="0"/>
        <condense val="0"/>
        <extend val="0"/>
        <outline val="0"/>
        <shadow val="0"/>
        <u val="none"/>
        <vertAlign val="baseline"/>
        <sz val="11"/>
        <color theme="0"/>
        <name val="Aptos Narrow"/>
        <family val="2"/>
        <scheme val="minor"/>
      </font>
      <numFmt numFmtId="0" formatCode="General"/>
      <fill>
        <patternFill patternType="solid">
          <fgColor indexed="64"/>
          <bgColor rgb="FF181818"/>
        </patternFill>
      </fill>
    </dxf>
    <dxf>
      <font>
        <b val="0"/>
        <i val="0"/>
        <strike val="0"/>
        <condense val="0"/>
        <extend val="0"/>
        <outline val="0"/>
        <shadow val="0"/>
        <u val="none"/>
        <vertAlign val="baseline"/>
        <sz val="11"/>
        <color theme="0"/>
        <name val="Aptos Narrow"/>
        <family val="2"/>
        <scheme val="minor"/>
      </font>
      <numFmt numFmtId="0" formatCode="General"/>
      <fill>
        <patternFill patternType="solid">
          <fgColor indexed="64"/>
          <bgColor rgb="FF181818"/>
        </patternFill>
      </fill>
    </dxf>
    <dxf>
      <font>
        <b val="0"/>
        <i val="0"/>
        <strike val="0"/>
        <condense val="0"/>
        <extend val="0"/>
        <outline val="0"/>
        <shadow val="0"/>
        <u val="none"/>
        <vertAlign val="baseline"/>
        <sz val="11"/>
        <color theme="0"/>
        <name val="Aptos Narrow"/>
        <family val="2"/>
        <scheme val="minor"/>
      </font>
      <fill>
        <patternFill patternType="solid">
          <fgColor indexed="64"/>
          <bgColor rgb="FF181818"/>
        </patternFill>
      </fill>
    </dxf>
    <dxf>
      <font>
        <b val="0"/>
        <i val="0"/>
        <strike val="0"/>
        <condense val="0"/>
        <extend val="0"/>
        <outline val="0"/>
        <shadow val="0"/>
        <u val="none"/>
        <vertAlign val="baseline"/>
        <sz val="11"/>
        <color theme="0"/>
        <name val="Aptos Narrow"/>
        <family val="2"/>
        <scheme val="minor"/>
      </font>
      <numFmt numFmtId="0" formatCode="General"/>
      <fill>
        <patternFill patternType="solid">
          <fgColor indexed="64"/>
          <bgColor rgb="FF181818"/>
        </patternFill>
      </fill>
    </dxf>
    <dxf>
      <font>
        <b val="0"/>
        <i val="0"/>
        <strike val="0"/>
        <condense val="0"/>
        <extend val="0"/>
        <outline val="0"/>
        <shadow val="0"/>
        <u val="none"/>
        <vertAlign val="baseline"/>
        <sz val="11"/>
        <color theme="0"/>
        <name val="Aptos Narrow"/>
        <family val="2"/>
        <scheme val="minor"/>
      </font>
      <numFmt numFmtId="0" formatCode="General"/>
      <fill>
        <patternFill patternType="solid">
          <fgColor indexed="64"/>
          <bgColor rgb="FF181818"/>
        </patternFill>
      </fill>
    </dxf>
    <dxf>
      <font>
        <b val="0"/>
        <i val="0"/>
        <strike val="0"/>
        <condense val="0"/>
        <extend val="0"/>
        <outline val="0"/>
        <shadow val="0"/>
        <u val="none"/>
        <vertAlign val="baseline"/>
        <sz val="11"/>
        <color theme="0"/>
        <name val="Aptos Narrow"/>
        <family val="2"/>
        <scheme val="minor"/>
      </font>
      <numFmt numFmtId="0" formatCode="General"/>
      <fill>
        <patternFill patternType="solid">
          <fgColor indexed="64"/>
          <bgColor rgb="FF181818"/>
        </patternFill>
      </fill>
    </dxf>
    <dxf>
      <font>
        <b val="0"/>
        <i val="0"/>
        <strike val="0"/>
        <condense val="0"/>
        <extend val="0"/>
        <outline val="0"/>
        <shadow val="0"/>
        <u val="none"/>
        <vertAlign val="baseline"/>
        <sz val="11"/>
        <color theme="4"/>
        <name val="Aptos Narrow"/>
        <family val="2"/>
        <scheme val="minor"/>
      </font>
      <fill>
        <patternFill patternType="solid">
          <fgColor indexed="64"/>
          <bgColor rgb="FF181818"/>
        </patternFill>
      </fill>
    </dxf>
    <dxf>
      <font>
        <b val="0"/>
        <i val="0"/>
        <strike val="0"/>
        <condense val="0"/>
        <extend val="0"/>
        <outline val="0"/>
        <shadow val="0"/>
        <u val="none"/>
        <vertAlign val="baseline"/>
        <sz val="11"/>
        <color theme="0"/>
        <name val="Aptos Narrow"/>
        <family val="2"/>
        <scheme val="minor"/>
      </font>
      <fill>
        <patternFill patternType="solid">
          <fgColor indexed="64"/>
          <bgColor rgb="FF181818"/>
        </patternFill>
      </fill>
    </dxf>
    <dxf>
      <font>
        <strike val="0"/>
        <outline val="0"/>
        <shadow val="0"/>
        <u val="none"/>
        <vertAlign val="baseline"/>
        <color theme="0"/>
      </font>
      <numFmt numFmtId="169" formatCode="[$$-2809]#,##0.00"/>
      <fill>
        <patternFill patternType="solid">
          <fgColor indexed="64"/>
          <bgColor rgb="FF121212"/>
        </patternFill>
      </fill>
    </dxf>
    <dxf>
      <font>
        <strike val="0"/>
        <outline val="0"/>
        <shadow val="0"/>
        <u val="none"/>
        <vertAlign val="baseline"/>
        <color theme="0"/>
      </font>
      <numFmt numFmtId="169" formatCode="[$$-2809]#,##0.00"/>
      <fill>
        <patternFill patternType="solid">
          <fgColor indexed="64"/>
          <bgColor rgb="FF121212"/>
        </patternFill>
      </fill>
    </dxf>
    <dxf>
      <font>
        <strike val="0"/>
        <outline val="0"/>
        <shadow val="0"/>
        <u val="none"/>
        <vertAlign val="baseline"/>
        <color theme="0"/>
      </font>
      <fill>
        <patternFill patternType="solid">
          <fgColor indexed="64"/>
          <bgColor rgb="FF121212"/>
        </patternFill>
      </fill>
    </dxf>
    <dxf>
      <font>
        <strike val="0"/>
        <outline val="0"/>
        <shadow val="0"/>
        <u val="none"/>
        <vertAlign val="baseline"/>
        <color theme="0"/>
      </font>
      <fill>
        <patternFill patternType="solid">
          <fgColor indexed="64"/>
          <bgColor rgb="FF121212"/>
        </patternFill>
      </fill>
    </dxf>
    <dxf>
      <font>
        <strike val="0"/>
        <outline val="0"/>
        <shadow val="0"/>
        <u val="none"/>
        <vertAlign val="baseline"/>
        <color theme="0"/>
      </font>
      <fill>
        <patternFill patternType="solid">
          <fgColor indexed="64"/>
          <bgColor rgb="FF121212"/>
        </patternFill>
      </fill>
    </dxf>
    <dxf>
      <font>
        <strike val="0"/>
        <outline val="0"/>
        <shadow val="0"/>
        <u val="none"/>
        <vertAlign val="baseline"/>
        <color theme="0"/>
      </font>
      <fill>
        <patternFill patternType="solid">
          <fgColor indexed="64"/>
          <bgColor rgb="FF121212"/>
        </patternFill>
      </fill>
    </dxf>
    <dxf>
      <font>
        <strike val="0"/>
        <outline val="0"/>
        <shadow val="0"/>
        <u val="none"/>
        <vertAlign val="baseline"/>
        <color theme="0"/>
      </font>
      <fill>
        <patternFill patternType="solid">
          <fgColor indexed="64"/>
          <bgColor rgb="FF121212"/>
        </patternFill>
      </fill>
    </dxf>
    <dxf>
      <font>
        <strike val="0"/>
        <outline val="0"/>
        <shadow val="0"/>
        <u val="none"/>
        <vertAlign val="baseline"/>
        <color theme="0"/>
      </font>
      <fill>
        <patternFill patternType="solid">
          <fgColor indexed="64"/>
          <bgColor rgb="FF121212"/>
        </patternFill>
      </fill>
    </dxf>
    <dxf>
      <font>
        <strike val="0"/>
        <outline val="0"/>
        <shadow val="0"/>
        <u val="none"/>
        <vertAlign val="baseline"/>
        <color theme="0"/>
      </font>
      <fill>
        <patternFill patternType="solid">
          <fgColor indexed="64"/>
          <bgColor rgb="FF121212"/>
        </patternFill>
      </fill>
    </dxf>
    <dxf>
      <fill>
        <patternFill patternType="solid">
          <fgColor indexed="64"/>
          <bgColor rgb="FF121212"/>
        </patternFill>
      </fill>
    </dxf>
  </dxfs>
  <tableStyles count="0" defaultTableStyle="TableStyleMedium2" defaultPivotStyle="PivotStyleLight16"/>
  <colors>
    <mruColors>
      <color rgb="FFE0E0E0"/>
      <color rgb="FFFFFFFF"/>
      <color rgb="FF1E1E1E"/>
      <color rgb="FF121212"/>
      <color rgb="FFA0A0A0"/>
      <color rgb="FF18181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Regional</a:t>
            </a:r>
            <a:r>
              <a:rPr lang="en-IN" baseline="0"/>
              <a:t> Performance</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Dashboard!$C$8</c:f>
              <c:strCache>
                <c:ptCount val="1"/>
                <c:pt idx="0">
                  <c:v>Units</c:v>
                </c:pt>
              </c:strCache>
            </c:strRef>
          </c:tx>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Dashboard!$B$9:$B$12</c:f>
              <c:strCache>
                <c:ptCount val="4"/>
                <c:pt idx="0">
                  <c:v>North America</c:v>
                </c:pt>
                <c:pt idx="1">
                  <c:v> Europe</c:v>
                </c:pt>
                <c:pt idx="2">
                  <c:v>Asia-Pacific</c:v>
                </c:pt>
                <c:pt idx="3">
                  <c:v>Latin America</c:v>
                </c:pt>
              </c:strCache>
            </c:strRef>
          </c:cat>
          <c:val>
            <c:numRef>
              <c:f>Dashboard!$C$9:$C$12</c:f>
              <c:numCache>
                <c:formatCode>General</c:formatCode>
                <c:ptCount val="4"/>
                <c:pt idx="0">
                  <c:v>706</c:v>
                </c:pt>
                <c:pt idx="1">
                  <c:v>0</c:v>
                </c:pt>
                <c:pt idx="2">
                  <c:v>428</c:v>
                </c:pt>
                <c:pt idx="3">
                  <c:v>414</c:v>
                </c:pt>
              </c:numCache>
            </c:numRef>
          </c:val>
          <c:extLst>
            <c:ext xmlns:c16="http://schemas.microsoft.com/office/drawing/2014/chart" uri="{C3380CC4-5D6E-409C-BE32-E72D297353CC}">
              <c16:uniqueId val="{00000000-D1F2-4BD5-8939-A34982698D08}"/>
            </c:ext>
          </c:extLst>
        </c:ser>
        <c:ser>
          <c:idx val="1"/>
          <c:order val="1"/>
          <c:tx>
            <c:strRef>
              <c:f>Dashboard!$D$8</c:f>
              <c:strCache>
                <c:ptCount val="1"/>
                <c:pt idx="0">
                  <c:v>Revenue</c:v>
                </c:pt>
              </c:strCache>
            </c:strRef>
          </c:tx>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Dashboard!$B$9:$B$12</c:f>
              <c:strCache>
                <c:ptCount val="4"/>
                <c:pt idx="0">
                  <c:v>North America</c:v>
                </c:pt>
                <c:pt idx="1">
                  <c:v> Europe</c:v>
                </c:pt>
                <c:pt idx="2">
                  <c:v>Asia-Pacific</c:v>
                </c:pt>
                <c:pt idx="3">
                  <c:v>Latin America</c:v>
                </c:pt>
              </c:strCache>
            </c:strRef>
          </c:cat>
          <c:val>
            <c:numRef>
              <c:f>Dashboard!$D$9:$D$12</c:f>
              <c:numCache>
                <c:formatCode>General</c:formatCode>
                <c:ptCount val="4"/>
                <c:pt idx="0">
                  <c:v>440680</c:v>
                </c:pt>
                <c:pt idx="1">
                  <c:v>0</c:v>
                </c:pt>
                <c:pt idx="2">
                  <c:v>346750</c:v>
                </c:pt>
                <c:pt idx="3">
                  <c:v>211360</c:v>
                </c:pt>
              </c:numCache>
            </c:numRef>
          </c:val>
          <c:extLst>
            <c:ext xmlns:c16="http://schemas.microsoft.com/office/drawing/2014/chart" uri="{C3380CC4-5D6E-409C-BE32-E72D297353CC}">
              <c16:uniqueId val="{00000001-D1F2-4BD5-8939-A34982698D08}"/>
            </c:ext>
          </c:extLst>
        </c:ser>
        <c:dLbls>
          <c:showLegendKey val="0"/>
          <c:showVal val="0"/>
          <c:showCatName val="0"/>
          <c:showSerName val="0"/>
          <c:showPercent val="0"/>
          <c:showBubbleSize val="0"/>
        </c:dLbls>
        <c:gapWidth val="100"/>
        <c:overlap val="-24"/>
        <c:axId val="1180754560"/>
        <c:axId val="1923772592"/>
      </c:barChart>
      <c:catAx>
        <c:axId val="118075456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3772592"/>
        <c:crosses val="autoZero"/>
        <c:auto val="1"/>
        <c:lblAlgn val="ctr"/>
        <c:lblOffset val="100"/>
        <c:noMultiLvlLbl val="0"/>
      </c:catAx>
      <c:valAx>
        <c:axId val="192377259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807545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Product</a:t>
            </a:r>
            <a:r>
              <a:rPr lang="en-IN" baseline="0"/>
              <a:t> Category Performance</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Dashboard!$G$8</c:f>
              <c:strCache>
                <c:ptCount val="1"/>
                <c:pt idx="0">
                  <c:v>Units</c:v>
                </c:pt>
              </c:strCache>
            </c:strRef>
          </c:tx>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dPt>
          <c:cat>
            <c:strRef>
              <c:f>Dashboard!$F$9:$F$11</c:f>
              <c:strCache>
                <c:ptCount val="3"/>
                <c:pt idx="0">
                  <c:v>Hardware</c:v>
                </c:pt>
                <c:pt idx="1">
                  <c:v> Software</c:v>
                </c:pt>
                <c:pt idx="2">
                  <c:v>Services</c:v>
                </c:pt>
              </c:strCache>
            </c:strRef>
          </c:cat>
          <c:val>
            <c:numRef>
              <c:f>Dashboard!$G$9:$G$11</c:f>
              <c:numCache>
                <c:formatCode>General</c:formatCode>
                <c:ptCount val="3"/>
                <c:pt idx="0">
                  <c:v>805</c:v>
                </c:pt>
                <c:pt idx="1">
                  <c:v>0</c:v>
                </c:pt>
                <c:pt idx="2">
                  <c:v>41</c:v>
                </c:pt>
              </c:numCache>
            </c:numRef>
          </c:val>
          <c:extLst>
            <c:ext xmlns:c16="http://schemas.microsoft.com/office/drawing/2014/chart" uri="{C3380CC4-5D6E-409C-BE32-E72D297353CC}">
              <c16:uniqueId val="{00000000-F099-4301-B5A6-CF4A369B5158}"/>
            </c:ext>
          </c:extLst>
        </c:ser>
        <c:ser>
          <c:idx val="1"/>
          <c:order val="1"/>
          <c:tx>
            <c:strRef>
              <c:f>Dashboard!$H$8</c:f>
              <c:strCache>
                <c:ptCount val="1"/>
                <c:pt idx="0">
                  <c:v>Revenue</c:v>
                </c:pt>
              </c:strCache>
            </c:strRef>
          </c:tx>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Dashboard!$F$9:$F$11</c:f>
              <c:strCache>
                <c:ptCount val="3"/>
                <c:pt idx="0">
                  <c:v>Hardware</c:v>
                </c:pt>
                <c:pt idx="1">
                  <c:v> Software</c:v>
                </c:pt>
                <c:pt idx="2">
                  <c:v>Services</c:v>
                </c:pt>
              </c:strCache>
            </c:strRef>
          </c:cat>
          <c:val>
            <c:numRef>
              <c:f>Dashboard!$H$9:$H$11</c:f>
              <c:numCache>
                <c:formatCode>General</c:formatCode>
                <c:ptCount val="3"/>
                <c:pt idx="0">
                  <c:v>623940</c:v>
                </c:pt>
                <c:pt idx="1">
                  <c:v>0</c:v>
                </c:pt>
                <c:pt idx="2">
                  <c:v>415000</c:v>
                </c:pt>
              </c:numCache>
            </c:numRef>
          </c:val>
          <c:extLst>
            <c:ext xmlns:c16="http://schemas.microsoft.com/office/drawing/2014/chart" uri="{C3380CC4-5D6E-409C-BE32-E72D297353CC}">
              <c16:uniqueId val="{00000001-F099-4301-B5A6-CF4A369B5158}"/>
            </c:ext>
          </c:extLst>
        </c:ser>
        <c:dLbls>
          <c:showLegendKey val="0"/>
          <c:showVal val="0"/>
          <c:showCatName val="0"/>
          <c:showSerName val="0"/>
          <c:showPercent val="0"/>
          <c:showBubbleSize val="0"/>
        </c:dLbls>
        <c:gapWidth val="100"/>
        <c:overlap val="-24"/>
        <c:axId val="1180745280"/>
        <c:axId val="1923781712"/>
      </c:barChart>
      <c:catAx>
        <c:axId val="11807452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3781712"/>
        <c:crosses val="autoZero"/>
        <c:auto val="1"/>
        <c:lblAlgn val="ctr"/>
        <c:lblOffset val="100"/>
        <c:noMultiLvlLbl val="0"/>
      </c:catAx>
      <c:valAx>
        <c:axId val="192378171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807452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7697</xdr:colOff>
      <xdr:row>13</xdr:row>
      <xdr:rowOff>130848</xdr:rowOff>
    </xdr:from>
    <xdr:to>
      <xdr:col>4</xdr:col>
      <xdr:colOff>38485</xdr:colOff>
      <xdr:row>27</xdr:row>
      <xdr:rowOff>69273</xdr:rowOff>
    </xdr:to>
    <xdr:graphicFrame macro="">
      <xdr:nvGraphicFramePr>
        <xdr:cNvPr id="2" name="Chart 1">
          <a:extLst>
            <a:ext uri="{FF2B5EF4-FFF2-40B4-BE49-F238E27FC236}">
              <a16:creationId xmlns:a16="http://schemas.microsoft.com/office/drawing/2014/main" id="{96E93278-5409-2587-FFDC-E47BB479A4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346416</xdr:colOff>
      <xdr:row>13</xdr:row>
      <xdr:rowOff>133327</xdr:rowOff>
    </xdr:from>
    <xdr:to>
      <xdr:col>8</xdr:col>
      <xdr:colOff>36534</xdr:colOff>
      <xdr:row>27</xdr:row>
      <xdr:rowOff>62629</xdr:rowOff>
    </xdr:to>
    <xdr:graphicFrame macro="">
      <xdr:nvGraphicFramePr>
        <xdr:cNvPr id="3" name="Chart 2">
          <a:extLst>
            <a:ext uri="{FF2B5EF4-FFF2-40B4-BE49-F238E27FC236}">
              <a16:creationId xmlns:a16="http://schemas.microsoft.com/office/drawing/2014/main" id="{55477883-A2F2-B4A5-7E4F-EDC5763079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xdr:col>
      <xdr:colOff>10657</xdr:colOff>
      <xdr:row>27</xdr:row>
      <xdr:rowOff>180415</xdr:rowOff>
    </xdr:from>
    <xdr:to>
      <xdr:col>2</xdr:col>
      <xdr:colOff>291934</xdr:colOff>
      <xdr:row>36</xdr:row>
      <xdr:rowOff>11166</xdr:rowOff>
    </xdr:to>
    <mc:AlternateContent xmlns:mc="http://schemas.openxmlformats.org/markup-compatibility/2006">
      <mc:Choice xmlns:sle15="http://schemas.microsoft.com/office/drawing/2012/slicer" Requires="sle15">
        <xdr:graphicFrame macro="">
          <xdr:nvGraphicFramePr>
            <xdr:cNvPr id="4" name="Region">
              <a:extLst>
                <a:ext uri="{FF2B5EF4-FFF2-40B4-BE49-F238E27FC236}">
                  <a16:creationId xmlns:a16="http://schemas.microsoft.com/office/drawing/2014/main" id="{EE7A5CE5-7312-180C-8CF0-C6F6220EE34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22566" y="5214233"/>
              <a:ext cx="1343459" cy="1493297"/>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5</xdr:col>
      <xdr:colOff>15986</xdr:colOff>
      <xdr:row>27</xdr:row>
      <xdr:rowOff>176591</xdr:rowOff>
    </xdr:from>
    <xdr:to>
      <xdr:col>6</xdr:col>
      <xdr:colOff>379987</xdr:colOff>
      <xdr:row>34</xdr:row>
      <xdr:rowOff>109770</xdr:rowOff>
    </xdr:to>
    <mc:AlternateContent xmlns:mc="http://schemas.openxmlformats.org/markup-compatibility/2006">
      <mc:Choice xmlns:sle15="http://schemas.microsoft.com/office/drawing/2012/slicer" Requires="sle15">
        <xdr:graphicFrame macro="">
          <xdr:nvGraphicFramePr>
            <xdr:cNvPr id="5" name="Category">
              <a:extLst>
                <a:ext uri="{FF2B5EF4-FFF2-40B4-BE49-F238E27FC236}">
                  <a16:creationId xmlns:a16="http://schemas.microsoft.com/office/drawing/2014/main" id="{42DC27CA-B4FA-8A73-DC15-D8EFBF35F8C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583531" y="5210409"/>
              <a:ext cx="1426183" cy="122627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139F935-BB31-4C32-848F-76CEDE10348D}" sourceName="Region">
  <extLst>
    <x:ext xmlns:x15="http://schemas.microsoft.com/office/spreadsheetml/2010/11/main" uri="{2F2917AC-EB37-4324-AD4E-5DD8C200BD13}">
      <x15:tableSlicerCache tableId="6"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CC66B46-0553-4406-AD56-8B8D8170A50C}" sourceName="Category">
  <extLst>
    <x:ext xmlns:x15="http://schemas.microsoft.com/office/spreadsheetml/2010/11/main" uri="{2F2917AC-EB37-4324-AD4E-5DD8C200BD13}">
      <x15:tableSlicerCache tableId="7"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88E3DF3-40FB-4FA0-ADE1-07DB33C5CBCF}" cache="Slicer_Region" caption="Region" rowHeight="247650"/>
  <slicer name="Category" xr10:uid="{79B48E74-592E-440A-93E6-20CB6CAF1D70}" cache="Slicer_Category" caption="Categor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51BEDCF-D60E-4F15-8D9F-33AD4D1DF48A}" name="Table1" displayName="Table1" ref="A1:C5" totalsRowShown="0" headerRowDxfId="31" dataDxfId="29">
  <autoFilter ref="A1:C5" xr:uid="{951BEDCF-D60E-4F15-8D9F-33AD4D1DF48A}"/>
  <tableColumns count="3">
    <tableColumn id="1" xr3:uid="{910E6D23-6618-4ACA-A523-145BBEF070E5}" name="Sales_Region" dataDxfId="30"/>
    <tableColumn id="2" xr3:uid="{FF1653E5-3529-4D96-9ED7-02A350CEACD4}" name="Total_Units_Sold" dataDxfId="24">
      <calculatedColumnFormula>SUMIF(Raw_Data!$C$2:$C$101, A2, Raw_Data!$F$2:$F$101)</calculatedColumnFormula>
    </tableColumn>
    <tableColumn id="3" xr3:uid="{4D389538-B13A-4232-A93C-0F9B6425EE74}" name="Total_Revenue_USD" dataDxfId="23">
      <calculatedColumnFormula>SUMIF(Raw_Data!$C$2:$C$101, A2, Raw_Data!$H$2:$H$101)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CB2ADF-8468-47FC-82FD-F3182FCF9E38}" name="Table2" displayName="Table2" ref="E1:G4" totalsRowShown="0" headerRowDxfId="26" dataDxfId="25">
  <autoFilter ref="E1:G4" xr:uid="{75CB2ADF-8468-47FC-82FD-F3182FCF9E38}"/>
  <tableColumns count="3">
    <tableColumn id="1" xr3:uid="{AEFCC487-3BA9-499B-9200-B6CBAFE93207}" name="Product_Category" dataDxfId="28"/>
    <tableColumn id="2" xr3:uid="{636DCEB4-E1FD-45BB-BADD-47AA290B821A}" name="Category_Units" dataDxfId="27">
      <calculatedColumnFormula>SUMIF(Raw_Data!$D$2:$D$101, E2, Raw_Data!$F$2:$F$101)</calculatedColumnFormula>
    </tableColumn>
    <tableColumn id="3" xr3:uid="{A186F026-3124-4CD0-860C-5A537A2CDD81}" name="Category_Revenue_USD" dataDxfId="22">
      <calculatedColumnFormula>SUMIF(Raw_Data!$D$2:$D$101, E2, Raw_Data!$H$2:$H$101)</calculatedColumnFormula>
    </tableColumn>
  </tableColumns>
  <tableStyleInfo name="TableStyleLight2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EF4DAFF-3196-4425-9F21-5D67E4BFA366}" name="Table3" displayName="Table3" ref="B8:D12" totalsRowShown="0" headerRowDxfId="20" dataDxfId="21">
  <autoFilter ref="B8:D12" xr:uid="{9EF4DAFF-3196-4425-9F21-5D67E4BFA366}"/>
  <tableColumns count="3">
    <tableColumn id="1" xr3:uid="{9CD78D36-B6AF-4834-B432-AA24D0312F1A}" name="Region" dataDxfId="19">
      <calculatedColumnFormula>Pivot_Engine!A2</calculatedColumnFormula>
    </tableColumn>
    <tableColumn id="2" xr3:uid="{9F9758D2-42D1-48FD-A989-699E3E201DF7}" name="Units" dataDxfId="18">
      <calculatedColumnFormula>Pivot_Engine!B2</calculatedColumnFormula>
    </tableColumn>
    <tableColumn id="3" xr3:uid="{A0DE875C-367D-402A-9898-140B274615D2}" name="Revenue" dataDxfId="17">
      <calculatedColumnFormula>Pivot_Engine!C2</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384507C-C93E-4B1C-B599-E7867B43532B}" name="Table4" displayName="Table4" ref="F8:H11" totalsRowShown="0" headerRowDxfId="12" dataDxfId="16">
  <autoFilter ref="F8:H11" xr:uid="{A384507C-C93E-4B1C-B599-E7867B43532B}"/>
  <tableColumns count="3">
    <tableColumn id="1" xr3:uid="{D546AA29-64B0-4DCF-8C14-66B3C7C04E5C}" name="Category" dataDxfId="15">
      <calculatedColumnFormula>Pivot_Engine!E2</calculatedColumnFormula>
    </tableColumn>
    <tableColumn id="2" xr3:uid="{7B32C3B0-3E8B-4C78-B5F7-50783073796C}" name="Units" dataDxfId="14">
      <calculatedColumnFormula>Pivot_Engine!F2</calculatedColumnFormula>
    </tableColumn>
    <tableColumn id="3" xr3:uid="{75638678-FEF5-43EE-BFBA-FDC0529C2DB9}" name="Revenue" dataDxfId="13">
      <calculatedColumnFormula>Pivot_Engine!G2</calculatedColumnFormula>
    </tableColumn>
  </tableColumns>
  <tableStyleInfo name="TableStyleLight2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8EFE3D2-F516-4154-B971-017B83F1BB85}" name="Table5" displayName="Table5" ref="A1:C4" totalsRowShown="0" headerRowDxfId="11" dataDxfId="6">
  <autoFilter ref="A1:C4" xr:uid="{28EFE3D2-F516-4154-B971-017B83F1BB85}"/>
  <tableColumns count="3">
    <tableColumn id="1" xr3:uid="{BE6C1AC4-311F-4F44-A8D5-B9C8F55207DD}" name="Performance_Tier" dataDxfId="9"/>
    <tableColumn id="2" xr3:uid="{B6D9D511-14DA-4747-8E05-BE8634E16555}" name="Min_Sales_Volume" dataDxfId="8"/>
    <tableColumn id="3" xr3:uid="{3E28999E-1333-413C-8B55-60F571839F07}" name="Commission_Rate" dataDxfId="7"/>
  </tableColumns>
  <tableStyleInfo name="TableStyleMedium4"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95F25F2-2347-46EB-BFC8-F3509B88C4C3}" name="Table6" displayName="Table6" ref="E1:G5" totalsRowShown="0" headerRowDxfId="10" dataDxfId="2">
  <autoFilter ref="E1:G5" xr:uid="{095F25F2-2347-46EB-BFC8-F3509B88C4C3}"/>
  <tableColumns count="3">
    <tableColumn id="1" xr3:uid="{BDEF17C6-61A5-4F5C-AD50-528F1A110695}" name="Sales_Region" dataDxfId="5"/>
    <tableColumn id="2" xr3:uid="{9CB887CB-22BA-47E0-844A-E7CD85E956B0}" name="Quarterly_Target_USD" dataDxfId="4"/>
    <tableColumn id="3" xr3:uid="{32FDA0AC-391C-4B0A-95BB-95EE965B9D93}" name="Regional_Manager" dataDxfId="3"/>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1.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8270-A00C-4E62-B80A-0DCE2DD0BD0C}">
  <dimension ref="A1:I101"/>
  <sheetViews>
    <sheetView zoomScale="47" workbookViewId="0">
      <selection activeCell="I9" sqref="I9"/>
    </sheetView>
  </sheetViews>
  <sheetFormatPr defaultRowHeight="14.4"/>
  <cols>
    <col min="1" max="1" width="12.88671875" bestFit="1" customWidth="1"/>
    <col min="2" max="2" width="16.21875" bestFit="1" customWidth="1"/>
    <col min="3" max="3" width="18.77734375" bestFit="1" customWidth="1"/>
    <col min="4" max="4" width="24.44140625" bestFit="1" customWidth="1"/>
    <col min="5" max="5" width="20.21875" bestFit="1" customWidth="1"/>
    <col min="6" max="6" width="15.21875" bestFit="1" customWidth="1"/>
    <col min="7" max="7" width="21.33203125" bestFit="1" customWidth="1"/>
    <col min="8" max="8" width="20" bestFit="1" customWidth="1"/>
    <col min="9" max="9" width="14.109375" bestFit="1" customWidth="1"/>
  </cols>
  <sheetData>
    <row r="1" spans="1:9" ht="21.6" thickBot="1">
      <c r="A1" s="25" t="s">
        <v>0</v>
      </c>
      <c r="B1" s="25" t="s">
        <v>1</v>
      </c>
      <c r="C1" s="25" t="s">
        <v>2</v>
      </c>
      <c r="D1" s="25" t="s">
        <v>3</v>
      </c>
      <c r="E1" s="25" t="s">
        <v>4</v>
      </c>
      <c r="F1" s="25" t="s">
        <v>5</v>
      </c>
      <c r="G1" s="25" t="s">
        <v>6</v>
      </c>
      <c r="H1" s="25" t="s">
        <v>126</v>
      </c>
      <c r="I1" s="25" t="s">
        <v>127</v>
      </c>
    </row>
    <row r="2" spans="1:9" ht="42" thickBot="1">
      <c r="A2" s="1" t="s">
        <v>7</v>
      </c>
      <c r="B2" s="2">
        <v>46023</v>
      </c>
      <c r="C2" s="1" t="s">
        <v>8</v>
      </c>
      <c r="D2" s="1" t="s">
        <v>9</v>
      </c>
      <c r="E2" s="1" t="s">
        <v>10</v>
      </c>
      <c r="F2" s="1">
        <v>12</v>
      </c>
      <c r="G2" s="1">
        <v>1250</v>
      </c>
      <c r="H2" s="3">
        <f>F2*G2</f>
        <v>15000</v>
      </c>
      <c r="I2" s="1" t="s">
        <v>11</v>
      </c>
    </row>
    <row r="3" spans="1:9" ht="42" thickBot="1">
      <c r="A3" s="1" t="s">
        <v>12</v>
      </c>
      <c r="B3" s="2">
        <v>46024</v>
      </c>
      <c r="C3" s="1" t="s">
        <v>13</v>
      </c>
      <c r="D3" s="1" t="s">
        <v>14</v>
      </c>
      <c r="E3" s="1" t="s">
        <v>15</v>
      </c>
      <c r="F3" s="1">
        <v>45</v>
      </c>
      <c r="G3" s="1">
        <v>320</v>
      </c>
      <c r="H3" s="3">
        <f>F3*G3</f>
        <v>14400</v>
      </c>
      <c r="I3" s="1" t="s">
        <v>16</v>
      </c>
    </row>
    <row r="4" spans="1:9" ht="28.2" thickBot="1">
      <c r="A4" s="1" t="s">
        <v>17</v>
      </c>
      <c r="B4" s="2">
        <v>46024</v>
      </c>
      <c r="C4" s="1" t="s">
        <v>18</v>
      </c>
      <c r="D4" s="1" t="s">
        <v>9</v>
      </c>
      <c r="E4" s="1" t="s">
        <v>19</v>
      </c>
      <c r="F4" s="1">
        <v>28</v>
      </c>
      <c r="G4" s="1">
        <v>450</v>
      </c>
      <c r="H4" s="3">
        <f>F4*G4</f>
        <v>12600</v>
      </c>
      <c r="I4" s="1" t="s">
        <v>20</v>
      </c>
    </row>
    <row r="5" spans="1:9" ht="42" thickBot="1">
      <c r="A5" s="1" t="s">
        <v>21</v>
      </c>
      <c r="B5" s="2">
        <v>46025</v>
      </c>
      <c r="C5" s="1" t="s">
        <v>8</v>
      </c>
      <c r="D5" s="1" t="s">
        <v>22</v>
      </c>
      <c r="E5" s="1" t="s">
        <v>23</v>
      </c>
      <c r="F5" s="1">
        <v>1</v>
      </c>
      <c r="G5" s="1">
        <v>8500</v>
      </c>
      <c r="H5" s="3">
        <f>F5*G5</f>
        <v>8500</v>
      </c>
      <c r="I5" s="1" t="s">
        <v>24</v>
      </c>
    </row>
    <row r="6" spans="1:9" ht="42" thickBot="1">
      <c r="A6" s="1" t="s">
        <v>25</v>
      </c>
      <c r="B6" s="2">
        <v>46026</v>
      </c>
      <c r="C6" s="1" t="s">
        <v>26</v>
      </c>
      <c r="D6" s="1" t="s">
        <v>9</v>
      </c>
      <c r="E6" s="1" t="s">
        <v>27</v>
      </c>
      <c r="F6" s="1">
        <v>15</v>
      </c>
      <c r="G6" s="1">
        <v>780</v>
      </c>
      <c r="H6" s="3">
        <f>F6*G6</f>
        <v>11700</v>
      </c>
      <c r="I6" s="1" t="s">
        <v>28</v>
      </c>
    </row>
    <row r="7" spans="1:9" ht="42" thickBot="1">
      <c r="A7" s="1" t="s">
        <v>29</v>
      </c>
      <c r="B7" s="2">
        <v>46027</v>
      </c>
      <c r="C7" s="1" t="s">
        <v>13</v>
      </c>
      <c r="D7" s="1" t="s">
        <v>14</v>
      </c>
      <c r="E7" s="1" t="s">
        <v>30</v>
      </c>
      <c r="F7" s="1">
        <v>60</v>
      </c>
      <c r="G7" s="1">
        <v>150</v>
      </c>
      <c r="H7" s="3">
        <f>F7*G7</f>
        <v>9000</v>
      </c>
      <c r="I7" s="1" t="s">
        <v>16</v>
      </c>
    </row>
    <row r="8" spans="1:9" ht="28.2" thickBot="1">
      <c r="A8" s="1" t="s">
        <v>31</v>
      </c>
      <c r="B8" s="2">
        <v>46027</v>
      </c>
      <c r="C8" s="1" t="s">
        <v>8</v>
      </c>
      <c r="D8" s="1" t="s">
        <v>9</v>
      </c>
      <c r="E8" s="1" t="s">
        <v>10</v>
      </c>
      <c r="F8" s="1">
        <v>8</v>
      </c>
      <c r="G8" s="1">
        <v>1250</v>
      </c>
      <c r="H8" s="3">
        <f t="shared" ref="H8:H71" si="0">F8*G8</f>
        <v>10000</v>
      </c>
      <c r="I8" s="1" t="s">
        <v>11</v>
      </c>
    </row>
    <row r="9" spans="1:9" ht="28.2" thickBot="1">
      <c r="A9" s="1" t="s">
        <v>32</v>
      </c>
      <c r="B9" s="2">
        <v>46028</v>
      </c>
      <c r="C9" s="1" t="s">
        <v>18</v>
      </c>
      <c r="D9" s="1" t="s">
        <v>22</v>
      </c>
      <c r="E9" s="1" t="s">
        <v>33</v>
      </c>
      <c r="F9" s="1">
        <v>2</v>
      </c>
      <c r="G9" s="1">
        <v>12000</v>
      </c>
      <c r="H9" s="3">
        <f t="shared" si="0"/>
        <v>24000</v>
      </c>
      <c r="I9" s="1" t="s">
        <v>20</v>
      </c>
    </row>
    <row r="10" spans="1:9" ht="42" thickBot="1">
      <c r="A10" s="1" t="s">
        <v>34</v>
      </c>
      <c r="B10" s="2">
        <v>46029</v>
      </c>
      <c r="C10" s="1" t="s">
        <v>8</v>
      </c>
      <c r="D10" s="1" t="s">
        <v>14</v>
      </c>
      <c r="E10" s="1" t="s">
        <v>15</v>
      </c>
      <c r="F10" s="1">
        <v>30</v>
      </c>
      <c r="G10" s="1">
        <v>320</v>
      </c>
      <c r="H10" s="3">
        <f t="shared" si="0"/>
        <v>9600</v>
      </c>
      <c r="I10" s="1" t="s">
        <v>24</v>
      </c>
    </row>
    <row r="11" spans="1:9" ht="42" thickBot="1">
      <c r="A11" s="1" t="s">
        <v>35</v>
      </c>
      <c r="B11" s="2">
        <v>46030</v>
      </c>
      <c r="C11" s="1" t="s">
        <v>26</v>
      </c>
      <c r="D11" s="1" t="s">
        <v>9</v>
      </c>
      <c r="E11" s="1" t="s">
        <v>19</v>
      </c>
      <c r="F11" s="1">
        <v>18</v>
      </c>
      <c r="G11" s="1">
        <v>450</v>
      </c>
      <c r="H11" s="3">
        <f t="shared" si="0"/>
        <v>8100</v>
      </c>
      <c r="I11" s="1" t="s">
        <v>28</v>
      </c>
    </row>
    <row r="12" spans="1:9" ht="42" thickBot="1">
      <c r="A12" s="1" t="s">
        <v>36</v>
      </c>
      <c r="B12" s="2">
        <v>46031</v>
      </c>
      <c r="C12" s="1" t="s">
        <v>13</v>
      </c>
      <c r="D12" s="1" t="s">
        <v>9</v>
      </c>
      <c r="E12" s="1" t="s">
        <v>27</v>
      </c>
      <c r="F12" s="1">
        <v>22</v>
      </c>
      <c r="G12" s="1">
        <v>780</v>
      </c>
      <c r="H12" s="3">
        <f t="shared" si="0"/>
        <v>17160</v>
      </c>
      <c r="I12" s="1" t="s">
        <v>16</v>
      </c>
    </row>
    <row r="13" spans="1:9" ht="42" thickBot="1">
      <c r="A13" s="1" t="s">
        <v>37</v>
      </c>
      <c r="B13" s="2">
        <v>46032</v>
      </c>
      <c r="C13" s="1" t="s">
        <v>18</v>
      </c>
      <c r="D13" s="1" t="s">
        <v>14</v>
      </c>
      <c r="E13" s="1" t="s">
        <v>30</v>
      </c>
      <c r="F13" s="1">
        <v>50</v>
      </c>
      <c r="G13" s="1">
        <v>150</v>
      </c>
      <c r="H13" s="3">
        <f t="shared" si="0"/>
        <v>7500</v>
      </c>
      <c r="I13" s="1" t="s">
        <v>20</v>
      </c>
    </row>
    <row r="14" spans="1:9" ht="42" thickBot="1">
      <c r="A14" s="1" t="s">
        <v>38</v>
      </c>
      <c r="B14" s="2">
        <v>46032</v>
      </c>
      <c r="C14" s="1" t="s">
        <v>8</v>
      </c>
      <c r="D14" s="1" t="s">
        <v>22</v>
      </c>
      <c r="E14" s="1" t="s">
        <v>23</v>
      </c>
      <c r="F14" s="1">
        <v>1</v>
      </c>
      <c r="G14" s="1">
        <v>8500</v>
      </c>
      <c r="H14" s="3">
        <f t="shared" si="0"/>
        <v>8500</v>
      </c>
      <c r="I14" s="1" t="s">
        <v>11</v>
      </c>
    </row>
    <row r="15" spans="1:9" ht="42" thickBot="1">
      <c r="A15" s="1" t="s">
        <v>39</v>
      </c>
      <c r="B15" s="2">
        <v>46033</v>
      </c>
      <c r="C15" s="1" t="s">
        <v>26</v>
      </c>
      <c r="D15" s="1" t="s">
        <v>14</v>
      </c>
      <c r="E15" s="1" t="s">
        <v>15</v>
      </c>
      <c r="F15" s="1">
        <v>25</v>
      </c>
      <c r="G15" s="1">
        <v>320</v>
      </c>
      <c r="H15" s="3">
        <f t="shared" si="0"/>
        <v>8000</v>
      </c>
      <c r="I15" s="1" t="s">
        <v>28</v>
      </c>
    </row>
    <row r="16" spans="1:9" ht="42" thickBot="1">
      <c r="A16" s="1" t="s">
        <v>40</v>
      </c>
      <c r="B16" s="2">
        <v>46034</v>
      </c>
      <c r="C16" s="1" t="s">
        <v>13</v>
      </c>
      <c r="D16" s="1" t="s">
        <v>9</v>
      </c>
      <c r="E16" s="1" t="s">
        <v>10</v>
      </c>
      <c r="F16" s="1">
        <v>14</v>
      </c>
      <c r="G16" s="1">
        <v>1250</v>
      </c>
      <c r="H16" s="3">
        <f t="shared" si="0"/>
        <v>17500</v>
      </c>
      <c r="I16" s="1" t="s">
        <v>16</v>
      </c>
    </row>
    <row r="17" spans="1:9" ht="28.2" thickBot="1">
      <c r="A17" s="1" t="s">
        <v>41</v>
      </c>
      <c r="B17" s="2">
        <v>46034</v>
      </c>
      <c r="C17" s="1" t="s">
        <v>8</v>
      </c>
      <c r="D17" s="1" t="s">
        <v>9</v>
      </c>
      <c r="E17" s="1" t="s">
        <v>19</v>
      </c>
      <c r="F17" s="1">
        <v>35</v>
      </c>
      <c r="G17" s="1">
        <v>450</v>
      </c>
      <c r="H17" s="3">
        <f t="shared" si="0"/>
        <v>15750</v>
      </c>
      <c r="I17" s="1" t="s">
        <v>24</v>
      </c>
    </row>
    <row r="18" spans="1:9" ht="28.2" thickBot="1">
      <c r="A18" s="1" t="s">
        <v>42</v>
      </c>
      <c r="B18" s="2">
        <v>46035</v>
      </c>
      <c r="C18" s="1" t="s">
        <v>18</v>
      </c>
      <c r="D18" s="1" t="s">
        <v>22</v>
      </c>
      <c r="E18" s="1" t="s">
        <v>33</v>
      </c>
      <c r="F18" s="1">
        <v>3</v>
      </c>
      <c r="G18" s="1">
        <v>12000</v>
      </c>
      <c r="H18" s="3">
        <f t="shared" si="0"/>
        <v>36000</v>
      </c>
      <c r="I18" s="1" t="s">
        <v>20</v>
      </c>
    </row>
    <row r="19" spans="1:9" ht="42" thickBot="1">
      <c r="A19" s="1" t="s">
        <v>43</v>
      </c>
      <c r="B19" s="2">
        <v>46036</v>
      </c>
      <c r="C19" s="1" t="s">
        <v>13</v>
      </c>
      <c r="D19" s="1" t="s">
        <v>14</v>
      </c>
      <c r="E19" s="1" t="s">
        <v>15</v>
      </c>
      <c r="F19" s="1">
        <v>40</v>
      </c>
      <c r="G19" s="1">
        <v>320</v>
      </c>
      <c r="H19" s="3">
        <f t="shared" si="0"/>
        <v>12800</v>
      </c>
      <c r="I19" s="1" t="s">
        <v>16</v>
      </c>
    </row>
    <row r="20" spans="1:9" ht="28.2" thickBot="1">
      <c r="A20" s="1" t="s">
        <v>44</v>
      </c>
      <c r="B20" s="2">
        <v>46037</v>
      </c>
      <c r="C20" s="1" t="s">
        <v>8</v>
      </c>
      <c r="D20" s="1" t="s">
        <v>9</v>
      </c>
      <c r="E20" s="1" t="s">
        <v>27</v>
      </c>
      <c r="F20" s="1">
        <v>12</v>
      </c>
      <c r="G20" s="1">
        <v>780</v>
      </c>
      <c r="H20" s="3">
        <f t="shared" si="0"/>
        <v>9360</v>
      </c>
      <c r="I20" s="1" t="s">
        <v>11</v>
      </c>
    </row>
    <row r="21" spans="1:9" ht="42" thickBot="1">
      <c r="A21" s="1" t="s">
        <v>45</v>
      </c>
      <c r="B21" s="2">
        <v>46037</v>
      </c>
      <c r="C21" s="1" t="s">
        <v>26</v>
      </c>
      <c r="D21" s="1" t="s">
        <v>22</v>
      </c>
      <c r="E21" s="1" t="s">
        <v>23</v>
      </c>
      <c r="F21" s="1">
        <v>1</v>
      </c>
      <c r="G21" s="1">
        <v>8500</v>
      </c>
      <c r="H21" s="3">
        <f t="shared" si="0"/>
        <v>8500</v>
      </c>
      <c r="I21" s="1" t="s">
        <v>28</v>
      </c>
    </row>
    <row r="22" spans="1:9" ht="42" thickBot="1">
      <c r="A22" s="1" t="s">
        <v>46</v>
      </c>
      <c r="B22" s="2">
        <v>46038</v>
      </c>
      <c r="C22" s="1" t="s">
        <v>8</v>
      </c>
      <c r="D22" s="1" t="s">
        <v>14</v>
      </c>
      <c r="E22" s="1" t="s">
        <v>30</v>
      </c>
      <c r="F22" s="1">
        <v>75</v>
      </c>
      <c r="G22" s="1">
        <v>150</v>
      </c>
      <c r="H22" s="3">
        <f t="shared" si="0"/>
        <v>11250</v>
      </c>
      <c r="I22" s="1" t="s">
        <v>24</v>
      </c>
    </row>
    <row r="23" spans="1:9" ht="42" thickBot="1">
      <c r="A23" s="1" t="s">
        <v>47</v>
      </c>
      <c r="B23" s="2">
        <v>46039</v>
      </c>
      <c r="C23" s="1" t="s">
        <v>13</v>
      </c>
      <c r="D23" s="1" t="s">
        <v>9</v>
      </c>
      <c r="E23" s="1" t="s">
        <v>10</v>
      </c>
      <c r="F23" s="1">
        <v>10</v>
      </c>
      <c r="G23" s="1">
        <v>1250</v>
      </c>
      <c r="H23" s="3">
        <f t="shared" si="0"/>
        <v>12500</v>
      </c>
      <c r="I23" s="1" t="s">
        <v>16</v>
      </c>
    </row>
    <row r="24" spans="1:9" ht="42" thickBot="1">
      <c r="A24" s="1" t="s">
        <v>48</v>
      </c>
      <c r="B24" s="2">
        <v>46040</v>
      </c>
      <c r="C24" s="1" t="s">
        <v>18</v>
      </c>
      <c r="D24" s="1" t="s">
        <v>14</v>
      </c>
      <c r="E24" s="1" t="s">
        <v>15</v>
      </c>
      <c r="F24" s="1">
        <v>20</v>
      </c>
      <c r="G24" s="1">
        <v>320</v>
      </c>
      <c r="H24" s="3">
        <f t="shared" si="0"/>
        <v>6400</v>
      </c>
      <c r="I24" s="1" t="s">
        <v>20</v>
      </c>
    </row>
    <row r="25" spans="1:9" ht="28.2" thickBot="1">
      <c r="A25" s="1" t="s">
        <v>49</v>
      </c>
      <c r="B25" s="2">
        <v>46041</v>
      </c>
      <c r="C25" s="1" t="s">
        <v>8</v>
      </c>
      <c r="D25" s="1" t="s">
        <v>22</v>
      </c>
      <c r="E25" s="1" t="s">
        <v>33</v>
      </c>
      <c r="F25" s="1">
        <v>1</v>
      </c>
      <c r="G25" s="1">
        <v>12000</v>
      </c>
      <c r="H25" s="3">
        <f t="shared" si="0"/>
        <v>12000</v>
      </c>
      <c r="I25" s="1" t="s">
        <v>11</v>
      </c>
    </row>
    <row r="26" spans="1:9" ht="42" thickBot="1">
      <c r="A26" s="1" t="s">
        <v>50</v>
      </c>
      <c r="B26" s="2">
        <v>46042</v>
      </c>
      <c r="C26" s="1" t="s">
        <v>26</v>
      </c>
      <c r="D26" s="1" t="s">
        <v>9</v>
      </c>
      <c r="E26" s="1" t="s">
        <v>19</v>
      </c>
      <c r="F26" s="1">
        <v>14</v>
      </c>
      <c r="G26" s="1">
        <v>450</v>
      </c>
      <c r="H26" s="3">
        <f t="shared" si="0"/>
        <v>6300</v>
      </c>
      <c r="I26" s="1" t="s">
        <v>28</v>
      </c>
    </row>
    <row r="27" spans="1:9" ht="42" thickBot="1">
      <c r="A27" s="1" t="s">
        <v>51</v>
      </c>
      <c r="B27" s="2">
        <v>46042</v>
      </c>
      <c r="C27" s="1" t="s">
        <v>13</v>
      </c>
      <c r="D27" s="1" t="s">
        <v>22</v>
      </c>
      <c r="E27" s="1" t="s">
        <v>23</v>
      </c>
      <c r="F27" s="1">
        <v>2</v>
      </c>
      <c r="G27" s="1">
        <v>8500</v>
      </c>
      <c r="H27" s="3">
        <f t="shared" si="0"/>
        <v>17000</v>
      </c>
      <c r="I27" s="1" t="s">
        <v>16</v>
      </c>
    </row>
    <row r="28" spans="1:9" ht="28.2" thickBot="1">
      <c r="A28" s="1" t="s">
        <v>52</v>
      </c>
      <c r="B28" s="2">
        <v>46043</v>
      </c>
      <c r="C28" s="1" t="s">
        <v>8</v>
      </c>
      <c r="D28" s="1" t="s">
        <v>9</v>
      </c>
      <c r="E28" s="1" t="s">
        <v>27</v>
      </c>
      <c r="F28" s="1">
        <v>16</v>
      </c>
      <c r="G28" s="1">
        <v>780</v>
      </c>
      <c r="H28" s="3">
        <f t="shared" si="0"/>
        <v>12480</v>
      </c>
      <c r="I28" s="1" t="s">
        <v>24</v>
      </c>
    </row>
    <row r="29" spans="1:9" ht="28.2" thickBot="1">
      <c r="A29" s="1" t="s">
        <v>53</v>
      </c>
      <c r="B29" s="2">
        <v>46044</v>
      </c>
      <c r="C29" s="1" t="s">
        <v>18</v>
      </c>
      <c r="D29" s="1" t="s">
        <v>9</v>
      </c>
      <c r="E29" s="1" t="s">
        <v>10</v>
      </c>
      <c r="F29" s="1">
        <v>18</v>
      </c>
      <c r="G29" s="1">
        <v>1250</v>
      </c>
      <c r="H29" s="3">
        <f t="shared" si="0"/>
        <v>22500</v>
      </c>
      <c r="I29" s="1" t="s">
        <v>20</v>
      </c>
    </row>
    <row r="30" spans="1:9" ht="42" thickBot="1">
      <c r="A30" s="1" t="s">
        <v>54</v>
      </c>
      <c r="B30" s="2">
        <v>46045</v>
      </c>
      <c r="C30" s="1" t="s">
        <v>26</v>
      </c>
      <c r="D30" s="1" t="s">
        <v>14</v>
      </c>
      <c r="E30" s="1" t="s">
        <v>30</v>
      </c>
      <c r="F30" s="1">
        <v>35</v>
      </c>
      <c r="G30" s="1">
        <v>150</v>
      </c>
      <c r="H30" s="3">
        <f t="shared" si="0"/>
        <v>5250</v>
      </c>
      <c r="I30" s="1" t="s">
        <v>28</v>
      </c>
    </row>
    <row r="31" spans="1:9" ht="42" thickBot="1">
      <c r="A31" s="1" t="s">
        <v>55</v>
      </c>
      <c r="B31" s="2">
        <v>46046</v>
      </c>
      <c r="C31" s="1" t="s">
        <v>13</v>
      </c>
      <c r="D31" s="1" t="s">
        <v>14</v>
      </c>
      <c r="E31" s="1" t="s">
        <v>15</v>
      </c>
      <c r="F31" s="1">
        <v>55</v>
      </c>
      <c r="G31" s="1">
        <v>320</v>
      </c>
      <c r="H31" s="3">
        <f t="shared" si="0"/>
        <v>17600</v>
      </c>
      <c r="I31" s="1" t="s">
        <v>16</v>
      </c>
    </row>
    <row r="32" spans="1:9" ht="28.2" thickBot="1">
      <c r="A32" s="1" t="s">
        <v>56</v>
      </c>
      <c r="B32" s="2">
        <v>46047</v>
      </c>
      <c r="C32" s="1" t="s">
        <v>8</v>
      </c>
      <c r="D32" s="1" t="s">
        <v>9</v>
      </c>
      <c r="E32" s="1" t="s">
        <v>19</v>
      </c>
      <c r="F32" s="1">
        <v>40</v>
      </c>
      <c r="G32" s="1">
        <v>450</v>
      </c>
      <c r="H32" s="3">
        <f t="shared" si="0"/>
        <v>18000</v>
      </c>
      <c r="I32" s="1" t="s">
        <v>11</v>
      </c>
    </row>
    <row r="33" spans="1:9" ht="42" thickBot="1">
      <c r="A33" s="1" t="s">
        <v>57</v>
      </c>
      <c r="B33" s="2">
        <v>46047</v>
      </c>
      <c r="C33" s="1" t="s">
        <v>18</v>
      </c>
      <c r="D33" s="1" t="s">
        <v>22</v>
      </c>
      <c r="E33" s="1" t="s">
        <v>23</v>
      </c>
      <c r="F33" s="1">
        <v>2</v>
      </c>
      <c r="G33" s="1">
        <v>8500</v>
      </c>
      <c r="H33" s="3">
        <f t="shared" si="0"/>
        <v>17000</v>
      </c>
      <c r="I33" s="1" t="s">
        <v>20</v>
      </c>
    </row>
    <row r="34" spans="1:9" ht="42" thickBot="1">
      <c r="A34" s="1" t="s">
        <v>58</v>
      </c>
      <c r="B34" s="2">
        <v>46048</v>
      </c>
      <c r="C34" s="1" t="s">
        <v>26</v>
      </c>
      <c r="D34" s="1" t="s">
        <v>9</v>
      </c>
      <c r="E34" s="1" t="s">
        <v>10</v>
      </c>
      <c r="F34" s="1">
        <v>9</v>
      </c>
      <c r="G34" s="1">
        <v>1250</v>
      </c>
      <c r="H34" s="3">
        <f t="shared" si="0"/>
        <v>11250</v>
      </c>
      <c r="I34" s="1" t="s">
        <v>28</v>
      </c>
    </row>
    <row r="35" spans="1:9" ht="42" thickBot="1">
      <c r="A35" s="1" t="s">
        <v>59</v>
      </c>
      <c r="B35" s="2">
        <v>46049</v>
      </c>
      <c r="C35" s="1" t="s">
        <v>13</v>
      </c>
      <c r="D35" s="1" t="s">
        <v>9</v>
      </c>
      <c r="E35" s="1" t="s">
        <v>27</v>
      </c>
      <c r="F35" s="1">
        <v>20</v>
      </c>
      <c r="G35" s="1">
        <v>780</v>
      </c>
      <c r="H35" s="3">
        <f t="shared" si="0"/>
        <v>15600</v>
      </c>
      <c r="I35" s="1" t="s">
        <v>16</v>
      </c>
    </row>
    <row r="36" spans="1:9" ht="42" thickBot="1">
      <c r="A36" s="1" t="s">
        <v>60</v>
      </c>
      <c r="B36" s="2">
        <v>46050</v>
      </c>
      <c r="C36" s="1" t="s">
        <v>8</v>
      </c>
      <c r="D36" s="1" t="s">
        <v>14</v>
      </c>
      <c r="E36" s="1" t="s">
        <v>30</v>
      </c>
      <c r="F36" s="1">
        <v>65</v>
      </c>
      <c r="G36" s="1">
        <v>150</v>
      </c>
      <c r="H36" s="3">
        <f t="shared" si="0"/>
        <v>9750</v>
      </c>
      <c r="I36" s="1" t="s">
        <v>24</v>
      </c>
    </row>
    <row r="37" spans="1:9" ht="42" thickBot="1">
      <c r="A37" s="1" t="s">
        <v>61</v>
      </c>
      <c r="B37" s="2">
        <v>46051</v>
      </c>
      <c r="C37" s="1" t="s">
        <v>18</v>
      </c>
      <c r="D37" s="1" t="s">
        <v>14</v>
      </c>
      <c r="E37" s="1" t="s">
        <v>15</v>
      </c>
      <c r="F37" s="1">
        <v>30</v>
      </c>
      <c r="G37" s="1">
        <v>320</v>
      </c>
      <c r="H37" s="3">
        <f t="shared" si="0"/>
        <v>9600</v>
      </c>
      <c r="I37" s="1" t="s">
        <v>20</v>
      </c>
    </row>
    <row r="38" spans="1:9" ht="42" thickBot="1">
      <c r="A38" s="1" t="s">
        <v>62</v>
      </c>
      <c r="B38" s="2">
        <v>46052</v>
      </c>
      <c r="C38" s="1" t="s">
        <v>26</v>
      </c>
      <c r="D38" s="1" t="s">
        <v>22</v>
      </c>
      <c r="E38" s="1" t="s">
        <v>33</v>
      </c>
      <c r="F38" s="1">
        <v>1</v>
      </c>
      <c r="G38" s="1">
        <v>12000</v>
      </c>
      <c r="H38" s="3">
        <f t="shared" si="0"/>
        <v>12000</v>
      </c>
      <c r="I38" s="1" t="s">
        <v>28</v>
      </c>
    </row>
    <row r="39" spans="1:9" ht="42" thickBot="1">
      <c r="A39" s="1" t="s">
        <v>63</v>
      </c>
      <c r="B39" s="2">
        <v>46052</v>
      </c>
      <c r="C39" s="1" t="s">
        <v>8</v>
      </c>
      <c r="D39" s="1" t="s">
        <v>22</v>
      </c>
      <c r="E39" s="1" t="s">
        <v>23</v>
      </c>
      <c r="F39" s="1">
        <v>2</v>
      </c>
      <c r="G39" s="1">
        <v>8500</v>
      </c>
      <c r="H39" s="3">
        <f t="shared" si="0"/>
        <v>17000</v>
      </c>
      <c r="I39" s="1" t="s">
        <v>11</v>
      </c>
    </row>
    <row r="40" spans="1:9" ht="42" thickBot="1">
      <c r="A40" s="1" t="s">
        <v>64</v>
      </c>
      <c r="B40" s="2">
        <v>46053</v>
      </c>
      <c r="C40" s="1" t="s">
        <v>13</v>
      </c>
      <c r="D40" s="1" t="s">
        <v>9</v>
      </c>
      <c r="E40" s="1" t="s">
        <v>19</v>
      </c>
      <c r="F40" s="1">
        <v>24</v>
      </c>
      <c r="G40" s="1">
        <v>450</v>
      </c>
      <c r="H40" s="3">
        <f t="shared" si="0"/>
        <v>10800</v>
      </c>
      <c r="I40" s="1" t="s">
        <v>16</v>
      </c>
    </row>
    <row r="41" spans="1:9" ht="28.2" thickBot="1">
      <c r="A41" s="1" t="s">
        <v>65</v>
      </c>
      <c r="B41" s="2">
        <v>46054</v>
      </c>
      <c r="C41" s="1" t="s">
        <v>18</v>
      </c>
      <c r="D41" s="1" t="s">
        <v>9</v>
      </c>
      <c r="E41" s="1" t="s">
        <v>10</v>
      </c>
      <c r="F41" s="1">
        <v>15</v>
      </c>
      <c r="G41" s="1">
        <v>1250</v>
      </c>
      <c r="H41" s="3">
        <f t="shared" si="0"/>
        <v>18750</v>
      </c>
      <c r="I41" s="1" t="s">
        <v>20</v>
      </c>
    </row>
    <row r="42" spans="1:9" ht="42" thickBot="1">
      <c r="A42" s="1" t="s">
        <v>66</v>
      </c>
      <c r="B42" s="2">
        <v>46055</v>
      </c>
      <c r="C42" s="1" t="s">
        <v>8</v>
      </c>
      <c r="D42" s="1" t="s">
        <v>14</v>
      </c>
      <c r="E42" s="1" t="s">
        <v>15</v>
      </c>
      <c r="F42" s="1">
        <v>50</v>
      </c>
      <c r="G42" s="1">
        <v>320</v>
      </c>
      <c r="H42" s="3">
        <f t="shared" si="0"/>
        <v>16000</v>
      </c>
      <c r="I42" s="1" t="s">
        <v>24</v>
      </c>
    </row>
    <row r="43" spans="1:9" ht="42" thickBot="1">
      <c r="A43" s="1" t="s">
        <v>67</v>
      </c>
      <c r="B43" s="2">
        <v>46056</v>
      </c>
      <c r="C43" s="1" t="s">
        <v>26</v>
      </c>
      <c r="D43" s="1" t="s">
        <v>14</v>
      </c>
      <c r="E43" s="1" t="s">
        <v>30</v>
      </c>
      <c r="F43" s="1">
        <v>40</v>
      </c>
      <c r="G43" s="1">
        <v>150</v>
      </c>
      <c r="H43" s="3">
        <f t="shared" si="0"/>
        <v>6000</v>
      </c>
      <c r="I43" s="1" t="s">
        <v>28</v>
      </c>
    </row>
    <row r="44" spans="1:9" ht="42" thickBot="1">
      <c r="A44" s="1" t="s">
        <v>68</v>
      </c>
      <c r="B44" s="2">
        <v>46056</v>
      </c>
      <c r="C44" s="1" t="s">
        <v>13</v>
      </c>
      <c r="D44" s="1" t="s">
        <v>9</v>
      </c>
      <c r="E44" s="1" t="s">
        <v>27</v>
      </c>
      <c r="F44" s="1">
        <v>18</v>
      </c>
      <c r="G44" s="1">
        <v>780</v>
      </c>
      <c r="H44" s="3">
        <f t="shared" si="0"/>
        <v>14040</v>
      </c>
      <c r="I44" s="1" t="s">
        <v>16</v>
      </c>
    </row>
    <row r="45" spans="1:9" ht="28.2" thickBot="1">
      <c r="A45" s="1" t="s">
        <v>69</v>
      </c>
      <c r="B45" s="2">
        <v>46057</v>
      </c>
      <c r="C45" s="1" t="s">
        <v>8</v>
      </c>
      <c r="D45" s="1" t="s">
        <v>9</v>
      </c>
      <c r="E45" s="1" t="s">
        <v>10</v>
      </c>
      <c r="F45" s="1">
        <v>22</v>
      </c>
      <c r="G45" s="1">
        <v>1250</v>
      </c>
      <c r="H45" s="3">
        <f t="shared" si="0"/>
        <v>27500</v>
      </c>
      <c r="I45" s="1" t="s">
        <v>11</v>
      </c>
    </row>
    <row r="46" spans="1:9" ht="28.2" thickBot="1">
      <c r="A46" s="1" t="s">
        <v>70</v>
      </c>
      <c r="B46" s="2">
        <v>46058</v>
      </c>
      <c r="C46" s="1" t="s">
        <v>18</v>
      </c>
      <c r="D46" s="1" t="s">
        <v>22</v>
      </c>
      <c r="E46" s="1" t="s">
        <v>33</v>
      </c>
      <c r="F46" s="1">
        <v>3</v>
      </c>
      <c r="G46" s="1">
        <v>12000</v>
      </c>
      <c r="H46" s="3">
        <f t="shared" si="0"/>
        <v>36000</v>
      </c>
      <c r="I46" s="1" t="s">
        <v>20</v>
      </c>
    </row>
    <row r="47" spans="1:9" ht="42" thickBot="1">
      <c r="A47" s="1" t="s">
        <v>71</v>
      </c>
      <c r="B47" s="2">
        <v>46059</v>
      </c>
      <c r="C47" s="1" t="s">
        <v>26</v>
      </c>
      <c r="D47" s="1" t="s">
        <v>9</v>
      </c>
      <c r="E47" s="1" t="s">
        <v>19</v>
      </c>
      <c r="F47" s="1">
        <v>12</v>
      </c>
      <c r="G47" s="1">
        <v>450</v>
      </c>
      <c r="H47" s="3">
        <f t="shared" si="0"/>
        <v>5400</v>
      </c>
      <c r="I47" s="1" t="s">
        <v>28</v>
      </c>
    </row>
    <row r="48" spans="1:9" ht="42" thickBot="1">
      <c r="A48" s="1" t="s">
        <v>72</v>
      </c>
      <c r="B48" s="2">
        <v>46060</v>
      </c>
      <c r="C48" s="1" t="s">
        <v>13</v>
      </c>
      <c r="D48" s="1" t="s">
        <v>14</v>
      </c>
      <c r="E48" s="1" t="s">
        <v>15</v>
      </c>
      <c r="F48" s="1">
        <v>35</v>
      </c>
      <c r="G48" s="1">
        <v>320</v>
      </c>
      <c r="H48" s="3">
        <f t="shared" si="0"/>
        <v>11200</v>
      </c>
      <c r="I48" s="1" t="s">
        <v>16</v>
      </c>
    </row>
    <row r="49" spans="1:9" ht="42" thickBot="1">
      <c r="A49" s="1" t="s">
        <v>73</v>
      </c>
      <c r="B49" s="2">
        <v>46061</v>
      </c>
      <c r="C49" s="1" t="s">
        <v>8</v>
      </c>
      <c r="D49" s="1" t="s">
        <v>22</v>
      </c>
      <c r="E49" s="1" t="s">
        <v>23</v>
      </c>
      <c r="F49" s="1">
        <v>1</v>
      </c>
      <c r="G49" s="1">
        <v>8500</v>
      </c>
      <c r="H49" s="3">
        <f t="shared" si="0"/>
        <v>8500</v>
      </c>
      <c r="I49" s="1" t="s">
        <v>24</v>
      </c>
    </row>
    <row r="50" spans="1:9" ht="28.2" thickBot="1">
      <c r="A50" s="1" t="s">
        <v>74</v>
      </c>
      <c r="B50" s="2">
        <v>46061</v>
      </c>
      <c r="C50" s="1" t="s">
        <v>18</v>
      </c>
      <c r="D50" s="1" t="s">
        <v>9</v>
      </c>
      <c r="E50" s="1" t="s">
        <v>27</v>
      </c>
      <c r="F50" s="1">
        <v>14</v>
      </c>
      <c r="G50" s="1">
        <v>780</v>
      </c>
      <c r="H50" s="3">
        <f t="shared" si="0"/>
        <v>10920</v>
      </c>
      <c r="I50" s="1" t="s">
        <v>20</v>
      </c>
    </row>
    <row r="51" spans="1:9" ht="42" thickBot="1">
      <c r="A51" s="1" t="s">
        <v>75</v>
      </c>
      <c r="B51" s="2">
        <v>46062</v>
      </c>
      <c r="C51" s="1" t="s">
        <v>26</v>
      </c>
      <c r="D51" s="1" t="s">
        <v>14</v>
      </c>
      <c r="E51" s="1" t="s">
        <v>30</v>
      </c>
      <c r="F51" s="1">
        <v>45</v>
      </c>
      <c r="G51" s="1">
        <v>150</v>
      </c>
      <c r="H51" s="3">
        <f t="shared" si="0"/>
        <v>6750</v>
      </c>
      <c r="I51" s="1" t="s">
        <v>28</v>
      </c>
    </row>
    <row r="52" spans="1:9" ht="28.2" thickBot="1">
      <c r="A52" s="1" t="s">
        <v>76</v>
      </c>
      <c r="B52" s="2">
        <v>46063</v>
      </c>
      <c r="C52" s="1" t="s">
        <v>8</v>
      </c>
      <c r="D52" s="1" t="s">
        <v>9</v>
      </c>
      <c r="E52" s="1" t="s">
        <v>10</v>
      </c>
      <c r="F52" s="1">
        <v>19</v>
      </c>
      <c r="G52" s="1">
        <v>1250</v>
      </c>
      <c r="H52" s="3">
        <f t="shared" si="0"/>
        <v>23750</v>
      </c>
      <c r="I52" s="1" t="s">
        <v>11</v>
      </c>
    </row>
    <row r="53" spans="1:9" ht="42" thickBot="1">
      <c r="A53" s="1" t="s">
        <v>77</v>
      </c>
      <c r="B53" s="2">
        <v>46064</v>
      </c>
      <c r="C53" s="1" t="s">
        <v>13</v>
      </c>
      <c r="D53" s="1" t="s">
        <v>9</v>
      </c>
      <c r="E53" s="1" t="s">
        <v>19</v>
      </c>
      <c r="F53" s="1">
        <v>30</v>
      </c>
      <c r="G53" s="1">
        <v>450</v>
      </c>
      <c r="H53" s="3">
        <f t="shared" si="0"/>
        <v>13500</v>
      </c>
      <c r="I53" s="1" t="s">
        <v>16</v>
      </c>
    </row>
    <row r="54" spans="1:9" ht="42" thickBot="1">
      <c r="A54" s="1" t="s">
        <v>78</v>
      </c>
      <c r="B54" s="2">
        <v>46065</v>
      </c>
      <c r="C54" s="1" t="s">
        <v>18</v>
      </c>
      <c r="D54" s="1" t="s">
        <v>14</v>
      </c>
      <c r="E54" s="1" t="s">
        <v>15</v>
      </c>
      <c r="F54" s="1">
        <v>25</v>
      </c>
      <c r="G54" s="1">
        <v>320</v>
      </c>
      <c r="H54" s="3">
        <f t="shared" si="0"/>
        <v>8000</v>
      </c>
      <c r="I54" s="1" t="s">
        <v>20</v>
      </c>
    </row>
    <row r="55" spans="1:9" ht="28.2" thickBot="1">
      <c r="A55" s="1" t="s">
        <v>79</v>
      </c>
      <c r="B55" s="2">
        <v>46065</v>
      </c>
      <c r="C55" s="1" t="s">
        <v>8</v>
      </c>
      <c r="D55" s="1" t="s">
        <v>22</v>
      </c>
      <c r="E55" s="1" t="s">
        <v>33</v>
      </c>
      <c r="F55" s="1">
        <v>2</v>
      </c>
      <c r="G55" s="1">
        <v>12000</v>
      </c>
      <c r="H55" s="3">
        <f t="shared" si="0"/>
        <v>24000</v>
      </c>
      <c r="I55" s="1" t="s">
        <v>24</v>
      </c>
    </row>
    <row r="56" spans="1:9" ht="42" thickBot="1">
      <c r="A56" s="1" t="s">
        <v>80</v>
      </c>
      <c r="B56" s="2">
        <v>46066</v>
      </c>
      <c r="C56" s="1" t="s">
        <v>26</v>
      </c>
      <c r="D56" s="1" t="s">
        <v>9</v>
      </c>
      <c r="E56" s="1" t="s">
        <v>27</v>
      </c>
      <c r="F56" s="1">
        <v>10</v>
      </c>
      <c r="G56" s="1">
        <v>780</v>
      </c>
      <c r="H56" s="3">
        <f t="shared" si="0"/>
        <v>7800</v>
      </c>
      <c r="I56" s="1" t="s">
        <v>28</v>
      </c>
    </row>
    <row r="57" spans="1:9" ht="42" thickBot="1">
      <c r="A57" s="1" t="s">
        <v>81</v>
      </c>
      <c r="B57" s="2">
        <v>46067</v>
      </c>
      <c r="C57" s="1" t="s">
        <v>13</v>
      </c>
      <c r="D57" s="1" t="s">
        <v>14</v>
      </c>
      <c r="E57" s="1" t="s">
        <v>30</v>
      </c>
      <c r="F57" s="1">
        <v>55</v>
      </c>
      <c r="G57" s="1">
        <v>150</v>
      </c>
      <c r="H57" s="3">
        <f t="shared" si="0"/>
        <v>8250</v>
      </c>
      <c r="I57" s="1" t="s">
        <v>16</v>
      </c>
    </row>
    <row r="58" spans="1:9" ht="28.2" thickBot="1">
      <c r="A58" s="1" t="s">
        <v>82</v>
      </c>
      <c r="B58" s="2">
        <v>46068</v>
      </c>
      <c r="C58" s="1" t="s">
        <v>8</v>
      </c>
      <c r="D58" s="1" t="s">
        <v>9</v>
      </c>
      <c r="E58" s="1" t="s">
        <v>10</v>
      </c>
      <c r="F58" s="1">
        <v>11</v>
      </c>
      <c r="G58" s="1">
        <v>1250</v>
      </c>
      <c r="H58" s="3">
        <f t="shared" si="0"/>
        <v>13750</v>
      </c>
      <c r="I58" s="1" t="s">
        <v>11</v>
      </c>
    </row>
    <row r="59" spans="1:9" ht="42" thickBot="1">
      <c r="A59" s="1" t="s">
        <v>83</v>
      </c>
      <c r="B59" s="2">
        <v>46069</v>
      </c>
      <c r="C59" s="1" t="s">
        <v>18</v>
      </c>
      <c r="D59" s="1" t="s">
        <v>22</v>
      </c>
      <c r="E59" s="1" t="s">
        <v>23</v>
      </c>
      <c r="F59" s="1">
        <v>2</v>
      </c>
      <c r="G59" s="1">
        <v>8500</v>
      </c>
      <c r="H59" s="3">
        <f t="shared" si="0"/>
        <v>17000</v>
      </c>
      <c r="I59" s="1" t="s">
        <v>20</v>
      </c>
    </row>
    <row r="60" spans="1:9" ht="42" thickBot="1">
      <c r="A60" s="1" t="s">
        <v>84</v>
      </c>
      <c r="B60" s="2">
        <v>46070</v>
      </c>
      <c r="C60" s="1" t="s">
        <v>26</v>
      </c>
      <c r="D60" s="1" t="s">
        <v>14</v>
      </c>
      <c r="E60" s="1" t="s">
        <v>15</v>
      </c>
      <c r="F60" s="1">
        <v>28</v>
      </c>
      <c r="G60" s="1">
        <v>320</v>
      </c>
      <c r="H60" s="3">
        <f t="shared" si="0"/>
        <v>8960</v>
      </c>
      <c r="I60" s="1" t="s">
        <v>28</v>
      </c>
    </row>
    <row r="61" spans="1:9" ht="42" thickBot="1">
      <c r="A61" s="1" t="s">
        <v>85</v>
      </c>
      <c r="B61" s="2">
        <v>46071</v>
      </c>
      <c r="C61" s="1" t="s">
        <v>13</v>
      </c>
      <c r="D61" s="1" t="s">
        <v>9</v>
      </c>
      <c r="E61" s="1" t="s">
        <v>19</v>
      </c>
      <c r="F61" s="1">
        <v>22</v>
      </c>
      <c r="G61" s="1">
        <v>450</v>
      </c>
      <c r="H61" s="3">
        <f t="shared" si="0"/>
        <v>9900</v>
      </c>
      <c r="I61" s="1" t="s">
        <v>16</v>
      </c>
    </row>
    <row r="62" spans="1:9" ht="42" thickBot="1">
      <c r="A62" s="1" t="s">
        <v>86</v>
      </c>
      <c r="B62" s="2">
        <v>46071</v>
      </c>
      <c r="C62" s="1" t="s">
        <v>8</v>
      </c>
      <c r="D62" s="1" t="s">
        <v>14</v>
      </c>
      <c r="E62" s="1" t="s">
        <v>15</v>
      </c>
      <c r="F62" s="1">
        <v>38</v>
      </c>
      <c r="G62" s="1">
        <v>320</v>
      </c>
      <c r="H62" s="3">
        <f t="shared" si="0"/>
        <v>12160</v>
      </c>
      <c r="I62" s="1" t="s">
        <v>24</v>
      </c>
    </row>
    <row r="63" spans="1:9" ht="28.2" thickBot="1">
      <c r="A63" s="1" t="s">
        <v>87</v>
      </c>
      <c r="B63" s="2">
        <v>46072</v>
      </c>
      <c r="C63" s="1" t="s">
        <v>18</v>
      </c>
      <c r="D63" s="1" t="s">
        <v>9</v>
      </c>
      <c r="E63" s="1" t="s">
        <v>27</v>
      </c>
      <c r="F63" s="1">
        <v>16</v>
      </c>
      <c r="G63" s="1">
        <v>780</v>
      </c>
      <c r="H63" s="3">
        <f t="shared" si="0"/>
        <v>12480</v>
      </c>
      <c r="I63" s="1" t="s">
        <v>20</v>
      </c>
    </row>
    <row r="64" spans="1:9" ht="42" thickBot="1">
      <c r="A64" s="1" t="s">
        <v>88</v>
      </c>
      <c r="B64" s="2">
        <v>46073</v>
      </c>
      <c r="C64" s="1" t="s">
        <v>26</v>
      </c>
      <c r="D64" s="1" t="s">
        <v>22</v>
      </c>
      <c r="E64" s="1" t="s">
        <v>33</v>
      </c>
      <c r="F64" s="1">
        <v>1</v>
      </c>
      <c r="G64" s="1">
        <v>12000</v>
      </c>
      <c r="H64" s="3">
        <f t="shared" si="0"/>
        <v>12000</v>
      </c>
      <c r="I64" s="1" t="s">
        <v>28</v>
      </c>
    </row>
    <row r="65" spans="1:9" ht="42" thickBot="1">
      <c r="A65" s="1" t="s">
        <v>89</v>
      </c>
      <c r="B65" s="2">
        <v>46074</v>
      </c>
      <c r="C65" s="1" t="s">
        <v>13</v>
      </c>
      <c r="D65" s="1" t="s">
        <v>9</v>
      </c>
      <c r="E65" s="1" t="s">
        <v>10</v>
      </c>
      <c r="F65" s="1">
        <v>13</v>
      </c>
      <c r="G65" s="1">
        <v>1250</v>
      </c>
      <c r="H65" s="3">
        <f t="shared" si="0"/>
        <v>16250</v>
      </c>
      <c r="I65" s="1" t="s">
        <v>16</v>
      </c>
    </row>
    <row r="66" spans="1:9" ht="42" thickBot="1">
      <c r="A66" s="1" t="s">
        <v>90</v>
      </c>
      <c r="B66" s="2">
        <v>46075</v>
      </c>
      <c r="C66" s="1" t="s">
        <v>8</v>
      </c>
      <c r="D66" s="1" t="s">
        <v>22</v>
      </c>
      <c r="E66" s="1" t="s">
        <v>23</v>
      </c>
      <c r="F66" s="1">
        <v>3</v>
      </c>
      <c r="G66" s="1">
        <v>8500</v>
      </c>
      <c r="H66" s="3">
        <f t="shared" si="0"/>
        <v>25500</v>
      </c>
      <c r="I66" s="1" t="s">
        <v>11</v>
      </c>
    </row>
    <row r="67" spans="1:9" ht="42" thickBot="1">
      <c r="A67" s="1" t="s">
        <v>91</v>
      </c>
      <c r="B67" s="2">
        <v>46075</v>
      </c>
      <c r="C67" s="1" t="s">
        <v>18</v>
      </c>
      <c r="D67" s="1" t="s">
        <v>14</v>
      </c>
      <c r="E67" s="1" t="s">
        <v>30</v>
      </c>
      <c r="F67" s="1">
        <v>42</v>
      </c>
      <c r="G67" s="1">
        <v>150</v>
      </c>
      <c r="H67" s="3">
        <f t="shared" si="0"/>
        <v>6300</v>
      </c>
      <c r="I67" s="1" t="s">
        <v>20</v>
      </c>
    </row>
    <row r="68" spans="1:9" ht="42" thickBot="1">
      <c r="A68" s="1" t="s">
        <v>92</v>
      </c>
      <c r="B68" s="2">
        <v>46076</v>
      </c>
      <c r="C68" s="1" t="s">
        <v>26</v>
      </c>
      <c r="D68" s="1" t="s">
        <v>9</v>
      </c>
      <c r="E68" s="1" t="s">
        <v>19</v>
      </c>
      <c r="F68" s="1">
        <v>15</v>
      </c>
      <c r="G68" s="1">
        <v>450</v>
      </c>
      <c r="H68" s="3">
        <f t="shared" si="0"/>
        <v>6750</v>
      </c>
      <c r="I68" s="1" t="s">
        <v>28</v>
      </c>
    </row>
    <row r="69" spans="1:9" ht="42" thickBot="1">
      <c r="A69" s="1" t="s">
        <v>93</v>
      </c>
      <c r="B69" s="2">
        <v>46077</v>
      </c>
      <c r="C69" s="1" t="s">
        <v>13</v>
      </c>
      <c r="D69" s="1" t="s">
        <v>14</v>
      </c>
      <c r="E69" s="1" t="s">
        <v>15</v>
      </c>
      <c r="F69" s="1">
        <v>48</v>
      </c>
      <c r="G69" s="1">
        <v>320</v>
      </c>
      <c r="H69" s="3">
        <f t="shared" si="0"/>
        <v>15360</v>
      </c>
      <c r="I69" s="1" t="s">
        <v>16</v>
      </c>
    </row>
    <row r="70" spans="1:9" ht="28.2" thickBot="1">
      <c r="A70" s="1" t="s">
        <v>94</v>
      </c>
      <c r="B70" s="2">
        <v>46078</v>
      </c>
      <c r="C70" s="1" t="s">
        <v>8</v>
      </c>
      <c r="D70" s="1" t="s">
        <v>9</v>
      </c>
      <c r="E70" s="1" t="s">
        <v>27</v>
      </c>
      <c r="F70" s="1">
        <v>20</v>
      </c>
      <c r="G70" s="1">
        <v>780</v>
      </c>
      <c r="H70" s="3">
        <f t="shared" si="0"/>
        <v>15600</v>
      </c>
      <c r="I70" s="1" t="s">
        <v>24</v>
      </c>
    </row>
    <row r="71" spans="1:9" ht="28.2" thickBot="1">
      <c r="A71" s="1" t="s">
        <v>95</v>
      </c>
      <c r="B71" s="2">
        <v>46079</v>
      </c>
      <c r="C71" s="1" t="s">
        <v>18</v>
      </c>
      <c r="D71" s="1" t="s">
        <v>9</v>
      </c>
      <c r="E71" s="1" t="s">
        <v>10</v>
      </c>
      <c r="F71" s="1">
        <v>17</v>
      </c>
      <c r="G71" s="1">
        <v>1250</v>
      </c>
      <c r="H71" s="3">
        <f t="shared" si="0"/>
        <v>21250</v>
      </c>
      <c r="I71" s="1" t="s">
        <v>20</v>
      </c>
    </row>
    <row r="72" spans="1:9" ht="42" thickBot="1">
      <c r="A72" s="1" t="s">
        <v>96</v>
      </c>
      <c r="B72" s="2">
        <v>46079</v>
      </c>
      <c r="C72" s="1" t="s">
        <v>26</v>
      </c>
      <c r="D72" s="1" t="s">
        <v>14</v>
      </c>
      <c r="E72" s="1" t="s">
        <v>30</v>
      </c>
      <c r="F72" s="1">
        <v>30</v>
      </c>
      <c r="G72" s="1">
        <v>150</v>
      </c>
      <c r="H72" s="3">
        <f t="shared" ref="H72:H101" si="1">F72*G72</f>
        <v>4500</v>
      </c>
      <c r="I72" s="1" t="s">
        <v>28</v>
      </c>
    </row>
    <row r="73" spans="1:9" ht="42" thickBot="1">
      <c r="A73" s="1" t="s">
        <v>97</v>
      </c>
      <c r="B73" s="2">
        <v>46080</v>
      </c>
      <c r="C73" s="1" t="s">
        <v>13</v>
      </c>
      <c r="D73" s="1" t="s">
        <v>22</v>
      </c>
      <c r="E73" s="1" t="s">
        <v>23</v>
      </c>
      <c r="F73" s="1">
        <v>2</v>
      </c>
      <c r="G73" s="1">
        <v>8500</v>
      </c>
      <c r="H73" s="3">
        <f t="shared" si="1"/>
        <v>17000</v>
      </c>
      <c r="I73" s="1" t="s">
        <v>16</v>
      </c>
    </row>
    <row r="74" spans="1:9" ht="42" thickBot="1">
      <c r="A74" s="1" t="s">
        <v>98</v>
      </c>
      <c r="B74" s="2">
        <v>46081</v>
      </c>
      <c r="C74" s="1" t="s">
        <v>8</v>
      </c>
      <c r="D74" s="1" t="s">
        <v>14</v>
      </c>
      <c r="E74" s="1" t="s">
        <v>15</v>
      </c>
      <c r="F74" s="1">
        <v>60</v>
      </c>
      <c r="G74" s="1">
        <v>320</v>
      </c>
      <c r="H74" s="3">
        <f t="shared" si="1"/>
        <v>19200</v>
      </c>
      <c r="I74" s="1" t="s">
        <v>11</v>
      </c>
    </row>
    <row r="75" spans="1:9" ht="28.2" thickBot="1">
      <c r="A75" s="1" t="s">
        <v>99</v>
      </c>
      <c r="B75" s="2">
        <v>46082</v>
      </c>
      <c r="C75" s="1" t="s">
        <v>18</v>
      </c>
      <c r="D75" s="1" t="s">
        <v>9</v>
      </c>
      <c r="E75" s="1" t="s">
        <v>19</v>
      </c>
      <c r="F75" s="1">
        <v>25</v>
      </c>
      <c r="G75" s="1">
        <v>450</v>
      </c>
      <c r="H75" s="3">
        <f t="shared" si="1"/>
        <v>11250</v>
      </c>
      <c r="I75" s="1" t="s">
        <v>20</v>
      </c>
    </row>
    <row r="76" spans="1:9" ht="42" thickBot="1">
      <c r="A76" s="1" t="s">
        <v>100</v>
      </c>
      <c r="B76" s="2">
        <v>46083</v>
      </c>
      <c r="C76" s="1" t="s">
        <v>26</v>
      </c>
      <c r="D76" s="1" t="s">
        <v>9</v>
      </c>
      <c r="E76" s="1" t="s">
        <v>10</v>
      </c>
      <c r="F76" s="1">
        <v>8</v>
      </c>
      <c r="G76" s="1">
        <v>1250</v>
      </c>
      <c r="H76" s="3">
        <f t="shared" si="1"/>
        <v>10000</v>
      </c>
      <c r="I76" s="1" t="s">
        <v>28</v>
      </c>
    </row>
    <row r="77" spans="1:9" ht="42" thickBot="1">
      <c r="A77" s="1" t="s">
        <v>101</v>
      </c>
      <c r="B77" s="2">
        <v>46083</v>
      </c>
      <c r="C77" s="1" t="s">
        <v>13</v>
      </c>
      <c r="D77" s="1" t="s">
        <v>9</v>
      </c>
      <c r="E77" s="1" t="s">
        <v>27</v>
      </c>
      <c r="F77" s="1">
        <v>19</v>
      </c>
      <c r="G77" s="1">
        <v>780</v>
      </c>
      <c r="H77" s="3">
        <f t="shared" si="1"/>
        <v>14820</v>
      </c>
      <c r="I77" s="1" t="s">
        <v>16</v>
      </c>
    </row>
    <row r="78" spans="1:9" ht="28.2" thickBot="1">
      <c r="A78" s="1" t="s">
        <v>102</v>
      </c>
      <c r="B78" s="2">
        <v>46084</v>
      </c>
      <c r="C78" s="1" t="s">
        <v>8</v>
      </c>
      <c r="D78" s="1" t="s">
        <v>22</v>
      </c>
      <c r="E78" s="1" t="s">
        <v>33</v>
      </c>
      <c r="F78" s="1">
        <v>2</v>
      </c>
      <c r="G78" s="1">
        <v>12000</v>
      </c>
      <c r="H78" s="3">
        <f t="shared" si="1"/>
        <v>24000</v>
      </c>
      <c r="I78" s="1" t="s">
        <v>24</v>
      </c>
    </row>
    <row r="79" spans="1:9" ht="42" thickBot="1">
      <c r="A79" s="1" t="s">
        <v>103</v>
      </c>
      <c r="B79" s="2">
        <v>46085</v>
      </c>
      <c r="C79" s="1" t="s">
        <v>18</v>
      </c>
      <c r="D79" s="1" t="s">
        <v>14</v>
      </c>
      <c r="E79" s="1" t="s">
        <v>15</v>
      </c>
      <c r="F79" s="1">
        <v>35</v>
      </c>
      <c r="G79" s="1">
        <v>320</v>
      </c>
      <c r="H79" s="3">
        <f t="shared" si="1"/>
        <v>11200</v>
      </c>
      <c r="I79" s="1" t="s">
        <v>20</v>
      </c>
    </row>
    <row r="80" spans="1:9" ht="42" thickBot="1">
      <c r="A80" s="1" t="s">
        <v>104</v>
      </c>
      <c r="B80" s="2">
        <v>46086</v>
      </c>
      <c r="C80" s="1" t="s">
        <v>26</v>
      </c>
      <c r="D80" s="1" t="s">
        <v>14</v>
      </c>
      <c r="E80" s="1" t="s">
        <v>30</v>
      </c>
      <c r="F80" s="1">
        <v>50</v>
      </c>
      <c r="G80" s="1">
        <v>150</v>
      </c>
      <c r="H80" s="3">
        <f t="shared" si="1"/>
        <v>7500</v>
      </c>
      <c r="I80" s="1" t="s">
        <v>28</v>
      </c>
    </row>
    <row r="81" spans="1:9" ht="42" thickBot="1">
      <c r="A81" s="1" t="s">
        <v>105</v>
      </c>
      <c r="B81" s="2">
        <v>46087</v>
      </c>
      <c r="C81" s="1" t="s">
        <v>13</v>
      </c>
      <c r="D81" s="1" t="s">
        <v>9</v>
      </c>
      <c r="E81" s="1" t="s">
        <v>10</v>
      </c>
      <c r="F81" s="1">
        <v>16</v>
      </c>
      <c r="G81" s="1">
        <v>1250</v>
      </c>
      <c r="H81" s="3">
        <f t="shared" si="1"/>
        <v>20000</v>
      </c>
      <c r="I81" s="1" t="s">
        <v>16</v>
      </c>
    </row>
    <row r="82" spans="1:9" ht="28.2" thickBot="1">
      <c r="A82" s="1" t="s">
        <v>106</v>
      </c>
      <c r="B82" s="2">
        <v>46087</v>
      </c>
      <c r="C82" s="1" t="s">
        <v>8</v>
      </c>
      <c r="D82" s="1" t="s">
        <v>9</v>
      </c>
      <c r="E82" s="1" t="s">
        <v>19</v>
      </c>
      <c r="F82" s="1">
        <v>32</v>
      </c>
      <c r="G82" s="1">
        <v>450</v>
      </c>
      <c r="H82" s="3">
        <f t="shared" si="1"/>
        <v>14400</v>
      </c>
      <c r="I82" s="1" t="s">
        <v>11</v>
      </c>
    </row>
    <row r="83" spans="1:9" ht="42" thickBot="1">
      <c r="A83" s="1" t="s">
        <v>107</v>
      </c>
      <c r="B83" s="2">
        <v>46088</v>
      </c>
      <c r="C83" s="1" t="s">
        <v>18</v>
      </c>
      <c r="D83" s="1" t="s">
        <v>22</v>
      </c>
      <c r="E83" s="1" t="s">
        <v>23</v>
      </c>
      <c r="F83" s="1">
        <v>1</v>
      </c>
      <c r="G83" s="1">
        <v>8500</v>
      </c>
      <c r="H83" s="3">
        <f t="shared" si="1"/>
        <v>8500</v>
      </c>
      <c r="I83" s="1" t="s">
        <v>20</v>
      </c>
    </row>
    <row r="84" spans="1:9" ht="42" thickBot="1">
      <c r="A84" s="1" t="s">
        <v>108</v>
      </c>
      <c r="B84" s="2">
        <v>46089</v>
      </c>
      <c r="C84" s="1" t="s">
        <v>26</v>
      </c>
      <c r="D84" s="1" t="s">
        <v>9</v>
      </c>
      <c r="E84" s="1" t="s">
        <v>27</v>
      </c>
      <c r="F84" s="1">
        <v>12</v>
      </c>
      <c r="G84" s="1">
        <v>780</v>
      </c>
      <c r="H84" s="3">
        <f t="shared" si="1"/>
        <v>9360</v>
      </c>
      <c r="I84" s="1" t="s">
        <v>28</v>
      </c>
    </row>
    <row r="85" spans="1:9" ht="42" thickBot="1">
      <c r="A85" s="1" t="s">
        <v>109</v>
      </c>
      <c r="B85" s="2">
        <v>46090</v>
      </c>
      <c r="C85" s="1" t="s">
        <v>13</v>
      </c>
      <c r="D85" s="1" t="s">
        <v>14</v>
      </c>
      <c r="E85" s="1" t="s">
        <v>15</v>
      </c>
      <c r="F85" s="1">
        <v>42</v>
      </c>
      <c r="G85" s="1">
        <v>320</v>
      </c>
      <c r="H85" s="3">
        <f t="shared" si="1"/>
        <v>13440</v>
      </c>
      <c r="I85" s="1" t="s">
        <v>16</v>
      </c>
    </row>
    <row r="86" spans="1:9" ht="42" thickBot="1">
      <c r="A86" s="1" t="s">
        <v>110</v>
      </c>
      <c r="B86" s="2">
        <v>46091</v>
      </c>
      <c r="C86" s="1" t="s">
        <v>8</v>
      </c>
      <c r="D86" s="1" t="s">
        <v>14</v>
      </c>
      <c r="E86" s="1" t="s">
        <v>30</v>
      </c>
      <c r="F86" s="1">
        <v>70</v>
      </c>
      <c r="G86" s="1">
        <v>150</v>
      </c>
      <c r="H86" s="3">
        <f t="shared" si="1"/>
        <v>10500</v>
      </c>
      <c r="I86" s="1" t="s">
        <v>24</v>
      </c>
    </row>
    <row r="87" spans="1:9" ht="28.2" thickBot="1">
      <c r="A87" s="1" t="s">
        <v>111</v>
      </c>
      <c r="B87" s="2">
        <v>46091</v>
      </c>
      <c r="C87" s="1" t="s">
        <v>18</v>
      </c>
      <c r="D87" s="1" t="s">
        <v>9</v>
      </c>
      <c r="E87" s="1" t="s">
        <v>10</v>
      </c>
      <c r="F87" s="1">
        <v>14</v>
      </c>
      <c r="G87" s="1">
        <v>1250</v>
      </c>
      <c r="H87" s="3">
        <f t="shared" si="1"/>
        <v>17500</v>
      </c>
      <c r="I87" s="1" t="s">
        <v>20</v>
      </c>
    </row>
    <row r="88" spans="1:9" ht="42" thickBot="1">
      <c r="A88" s="1" t="s">
        <v>112</v>
      </c>
      <c r="B88" s="2">
        <v>46092</v>
      </c>
      <c r="C88" s="1" t="s">
        <v>26</v>
      </c>
      <c r="D88" s="1" t="s">
        <v>22</v>
      </c>
      <c r="E88" s="1" t="s">
        <v>33</v>
      </c>
      <c r="F88" s="1">
        <v>2</v>
      </c>
      <c r="G88" s="1">
        <v>12000</v>
      </c>
      <c r="H88" s="3">
        <f t="shared" si="1"/>
        <v>24000</v>
      </c>
      <c r="I88" s="1" t="s">
        <v>28</v>
      </c>
    </row>
    <row r="89" spans="1:9" ht="42" thickBot="1">
      <c r="A89" s="1" t="s">
        <v>113</v>
      </c>
      <c r="B89" s="2">
        <v>46093</v>
      </c>
      <c r="C89" s="1" t="s">
        <v>13</v>
      </c>
      <c r="D89" s="1" t="s">
        <v>9</v>
      </c>
      <c r="E89" s="1" t="s">
        <v>19</v>
      </c>
      <c r="F89" s="1">
        <v>26</v>
      </c>
      <c r="G89" s="1">
        <v>450</v>
      </c>
      <c r="H89" s="3">
        <f t="shared" si="1"/>
        <v>11700</v>
      </c>
      <c r="I89" s="1" t="s">
        <v>16</v>
      </c>
    </row>
    <row r="90" spans="1:9" ht="28.2" thickBot="1">
      <c r="A90" s="1" t="s">
        <v>114</v>
      </c>
      <c r="B90" s="2">
        <v>46094</v>
      </c>
      <c r="C90" s="1" t="s">
        <v>8</v>
      </c>
      <c r="D90" s="1" t="s">
        <v>9</v>
      </c>
      <c r="E90" s="1" t="s">
        <v>27</v>
      </c>
      <c r="F90" s="1">
        <v>21</v>
      </c>
      <c r="G90" s="1">
        <v>780</v>
      </c>
      <c r="H90" s="3">
        <f t="shared" si="1"/>
        <v>16380</v>
      </c>
      <c r="I90" s="1" t="s">
        <v>11</v>
      </c>
    </row>
    <row r="91" spans="1:9" ht="42" thickBot="1">
      <c r="A91" s="1" t="s">
        <v>115</v>
      </c>
      <c r="B91" s="2">
        <v>46095</v>
      </c>
      <c r="C91" s="1" t="s">
        <v>18</v>
      </c>
      <c r="D91" s="1" t="s">
        <v>14</v>
      </c>
      <c r="E91" s="1" t="s">
        <v>15</v>
      </c>
      <c r="F91" s="1">
        <v>28</v>
      </c>
      <c r="G91" s="1">
        <v>320</v>
      </c>
      <c r="H91" s="3">
        <f t="shared" si="1"/>
        <v>8960</v>
      </c>
      <c r="I91" s="1" t="s">
        <v>20</v>
      </c>
    </row>
    <row r="92" spans="1:9" ht="42" thickBot="1">
      <c r="A92" s="1" t="s">
        <v>116</v>
      </c>
      <c r="B92" s="2">
        <v>46095</v>
      </c>
      <c r="C92" s="1" t="s">
        <v>26</v>
      </c>
      <c r="D92" s="1" t="s">
        <v>9</v>
      </c>
      <c r="E92" s="1" t="s">
        <v>10</v>
      </c>
      <c r="F92" s="1">
        <v>10</v>
      </c>
      <c r="G92" s="1">
        <v>1250</v>
      </c>
      <c r="H92" s="3">
        <f t="shared" si="1"/>
        <v>12500</v>
      </c>
      <c r="I92" s="1" t="s">
        <v>28</v>
      </c>
    </row>
    <row r="93" spans="1:9" ht="42" thickBot="1">
      <c r="A93" s="1" t="s">
        <v>117</v>
      </c>
      <c r="B93" s="2">
        <v>46096</v>
      </c>
      <c r="C93" s="1" t="s">
        <v>13</v>
      </c>
      <c r="D93" s="1" t="s">
        <v>22</v>
      </c>
      <c r="E93" s="1" t="s">
        <v>23</v>
      </c>
      <c r="F93" s="1">
        <v>3</v>
      </c>
      <c r="G93" s="1">
        <v>8500</v>
      </c>
      <c r="H93" s="3">
        <f t="shared" si="1"/>
        <v>25500</v>
      </c>
      <c r="I93" s="1" t="s">
        <v>16</v>
      </c>
    </row>
    <row r="94" spans="1:9" ht="42" thickBot="1">
      <c r="A94" s="1" t="s">
        <v>118</v>
      </c>
      <c r="B94" s="2">
        <v>46097</v>
      </c>
      <c r="C94" s="1" t="s">
        <v>8</v>
      </c>
      <c r="D94" s="1" t="s">
        <v>14</v>
      </c>
      <c r="E94" s="1" t="s">
        <v>30</v>
      </c>
      <c r="F94" s="1">
        <v>55</v>
      </c>
      <c r="G94" s="1">
        <v>150</v>
      </c>
      <c r="H94" s="3">
        <f t="shared" si="1"/>
        <v>8250</v>
      </c>
      <c r="I94" s="1" t="s">
        <v>24</v>
      </c>
    </row>
    <row r="95" spans="1:9" ht="28.2" thickBot="1">
      <c r="A95" s="1" t="s">
        <v>119</v>
      </c>
      <c r="B95" s="2">
        <v>46098</v>
      </c>
      <c r="C95" s="1" t="s">
        <v>18</v>
      </c>
      <c r="D95" s="1" t="s">
        <v>9</v>
      </c>
      <c r="E95" s="1" t="s">
        <v>19</v>
      </c>
      <c r="F95" s="1">
        <v>20</v>
      </c>
      <c r="G95" s="1">
        <v>450</v>
      </c>
      <c r="H95" s="3">
        <f t="shared" si="1"/>
        <v>9000</v>
      </c>
      <c r="I95" s="1" t="s">
        <v>20</v>
      </c>
    </row>
    <row r="96" spans="1:9" ht="42" thickBot="1">
      <c r="A96" s="1" t="s">
        <v>120</v>
      </c>
      <c r="B96" s="2">
        <v>46099</v>
      </c>
      <c r="C96" s="1" t="s">
        <v>26</v>
      </c>
      <c r="D96" s="1" t="s">
        <v>14</v>
      </c>
      <c r="E96" s="1" t="s">
        <v>15</v>
      </c>
      <c r="F96" s="1">
        <v>32</v>
      </c>
      <c r="G96" s="1">
        <v>320</v>
      </c>
      <c r="H96" s="3">
        <f t="shared" si="1"/>
        <v>10240</v>
      </c>
      <c r="I96" s="1" t="s">
        <v>28</v>
      </c>
    </row>
    <row r="97" spans="1:9" ht="42" thickBot="1">
      <c r="A97" s="1" t="s">
        <v>121</v>
      </c>
      <c r="B97" s="2">
        <v>46099</v>
      </c>
      <c r="C97" s="1" t="s">
        <v>13</v>
      </c>
      <c r="D97" s="1" t="s">
        <v>9</v>
      </c>
      <c r="E97" s="1" t="s">
        <v>10</v>
      </c>
      <c r="F97" s="1">
        <v>15</v>
      </c>
      <c r="G97" s="1">
        <v>1250</v>
      </c>
      <c r="H97" s="3">
        <f t="shared" si="1"/>
        <v>18750</v>
      </c>
      <c r="I97" s="1" t="s">
        <v>16</v>
      </c>
    </row>
    <row r="98" spans="1:9" ht="28.2" thickBot="1">
      <c r="A98" s="1" t="s">
        <v>122</v>
      </c>
      <c r="B98" s="2">
        <v>46100</v>
      </c>
      <c r="C98" s="1" t="s">
        <v>8</v>
      </c>
      <c r="D98" s="1" t="s">
        <v>22</v>
      </c>
      <c r="E98" s="1" t="s">
        <v>33</v>
      </c>
      <c r="F98" s="1">
        <v>2</v>
      </c>
      <c r="G98" s="1">
        <v>12000</v>
      </c>
      <c r="H98" s="3">
        <f t="shared" si="1"/>
        <v>24000</v>
      </c>
      <c r="I98" s="1" t="s">
        <v>11</v>
      </c>
    </row>
    <row r="99" spans="1:9" ht="28.2" thickBot="1">
      <c r="A99" s="1" t="s">
        <v>123</v>
      </c>
      <c r="B99" s="2">
        <v>46101</v>
      </c>
      <c r="C99" s="1" t="s">
        <v>18</v>
      </c>
      <c r="D99" s="1" t="s">
        <v>9</v>
      </c>
      <c r="E99" s="1" t="s">
        <v>27</v>
      </c>
      <c r="F99" s="1">
        <v>18</v>
      </c>
      <c r="G99" s="1">
        <v>780</v>
      </c>
      <c r="H99" s="3">
        <f t="shared" si="1"/>
        <v>14040</v>
      </c>
      <c r="I99" s="1" t="s">
        <v>20</v>
      </c>
    </row>
    <row r="100" spans="1:9" ht="42" thickBot="1">
      <c r="A100" s="1" t="s">
        <v>124</v>
      </c>
      <c r="B100" s="2">
        <v>46102</v>
      </c>
      <c r="C100" s="1" t="s">
        <v>26</v>
      </c>
      <c r="D100" s="1" t="s">
        <v>22</v>
      </c>
      <c r="E100" s="1" t="s">
        <v>23</v>
      </c>
      <c r="F100" s="1">
        <v>1</v>
      </c>
      <c r="G100" s="1">
        <v>8500</v>
      </c>
      <c r="H100" s="3">
        <f t="shared" si="1"/>
        <v>8500</v>
      </c>
      <c r="I100" s="1" t="s">
        <v>28</v>
      </c>
    </row>
    <row r="101" spans="1:9" ht="42" thickBot="1">
      <c r="A101" s="1" t="s">
        <v>125</v>
      </c>
      <c r="B101" s="2">
        <v>46103</v>
      </c>
      <c r="C101" s="1" t="s">
        <v>13</v>
      </c>
      <c r="D101" s="1" t="s">
        <v>14</v>
      </c>
      <c r="E101" s="1" t="s">
        <v>30</v>
      </c>
      <c r="F101" s="1">
        <v>65</v>
      </c>
      <c r="G101" s="1">
        <v>150</v>
      </c>
      <c r="H101" s="3">
        <f t="shared" si="1"/>
        <v>9750</v>
      </c>
      <c r="I101" s="1" t="s">
        <v>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B0BBC-7D78-484A-86A8-62872DFEB059}">
  <dimension ref="A1:G5"/>
  <sheetViews>
    <sheetView workbookViewId="0">
      <selection activeCell="C7" sqref="C7"/>
    </sheetView>
  </sheetViews>
  <sheetFormatPr defaultRowHeight="14.4"/>
  <cols>
    <col min="1" max="1" width="13.77734375" style="4" customWidth="1"/>
    <col min="2" max="2" width="16.6640625" style="4" customWidth="1"/>
    <col min="3" max="3" width="19.109375" style="7" customWidth="1"/>
    <col min="4" max="4" width="8.88671875" style="4"/>
    <col min="5" max="5" width="17.5546875" style="4" customWidth="1"/>
    <col min="6" max="6" width="15.33203125" style="4" customWidth="1"/>
    <col min="7" max="7" width="22.33203125" style="7" customWidth="1"/>
    <col min="8" max="16384" width="8.88671875" style="4"/>
  </cols>
  <sheetData>
    <row r="1" spans="1:7">
      <c r="A1" s="4" t="s">
        <v>2</v>
      </c>
      <c r="B1" s="4" t="s">
        <v>128</v>
      </c>
      <c r="C1" s="7" t="s">
        <v>129</v>
      </c>
      <c r="E1" s="6" t="s">
        <v>3</v>
      </c>
      <c r="F1" s="6" t="s">
        <v>131</v>
      </c>
      <c r="G1" s="8" t="s">
        <v>132</v>
      </c>
    </row>
    <row r="2" spans="1:7">
      <c r="A2" s="5" t="s">
        <v>8</v>
      </c>
      <c r="B2" s="6">
        <f>SUMIF(Raw_Data!$C$2:$C$101, A2, Raw_Data!$F$2:$F$101)</f>
        <v>706</v>
      </c>
      <c r="C2" s="8">
        <f>SUMIF(Raw_Data!$C$2:$C$101, A2, Raw_Data!$H$2:$H$101)</f>
        <v>440680</v>
      </c>
      <c r="E2" s="5" t="s">
        <v>9</v>
      </c>
      <c r="F2" s="6">
        <f>SUMIF(Raw_Data!$D$2:$D$101, E2, Raw_Data!$F$2:$F$101)</f>
        <v>805</v>
      </c>
      <c r="G2" s="8">
        <f>SUMIF(Raw_Data!$D$2:$D$101, E2, Raw_Data!$H$2:$H$101)</f>
        <v>623940</v>
      </c>
    </row>
    <row r="3" spans="1:7">
      <c r="A3" s="6" t="s">
        <v>130</v>
      </c>
      <c r="B3" s="6">
        <f>SUMIF(Raw_Data!$C$2:$C$101, A3, Raw_Data!$F$2:$F$101)</f>
        <v>0</v>
      </c>
      <c r="C3" s="8">
        <f>SUMIF(Raw_Data!$C$2:$C$101, A3, Raw_Data!$H$2:$H$101)</f>
        <v>0</v>
      </c>
      <c r="E3" s="6" t="s">
        <v>133</v>
      </c>
      <c r="F3" s="6">
        <f>SUMIF(Raw_Data!$D$2:$D$101, E3, Raw_Data!$F$2:$F$101)</f>
        <v>0</v>
      </c>
      <c r="G3" s="8">
        <f>SUMIF(Raw_Data!$D$2:$D$101, E3, Raw_Data!$H$2:$H$101)</f>
        <v>0</v>
      </c>
    </row>
    <row r="4" spans="1:7">
      <c r="A4" s="6" t="s">
        <v>18</v>
      </c>
      <c r="B4" s="6">
        <f>SUMIF(Raw_Data!$C$2:$C$101, A4, Raw_Data!$F$2:$F$101)</f>
        <v>428</v>
      </c>
      <c r="C4" s="8">
        <f>SUMIF(Raw_Data!$C$2:$C$101, A4, Raw_Data!$H$2:$H$101)</f>
        <v>346750</v>
      </c>
      <c r="E4" s="6" t="s">
        <v>22</v>
      </c>
      <c r="F4" s="6">
        <f>SUMIF(Raw_Data!$D$2:$D$101, E4, Raw_Data!$F$2:$F$101)</f>
        <v>41</v>
      </c>
      <c r="G4" s="8">
        <f>SUMIF(Raw_Data!$D$2:$D$101, E4, Raw_Data!$H$2:$H$101)</f>
        <v>415000</v>
      </c>
    </row>
    <row r="5" spans="1:7">
      <c r="A5" s="6" t="s">
        <v>26</v>
      </c>
      <c r="B5" s="6">
        <f>SUMIF(Raw_Data!$C$2:$C$101, A5, Raw_Data!$F$2:$F$101)</f>
        <v>414</v>
      </c>
      <c r="C5" s="8">
        <f>SUMIF(Raw_Data!$C$2:$C$101, A5, Raw_Data!$H$2:$H$101)</f>
        <v>211360</v>
      </c>
    </row>
  </sheetData>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A154B-41CC-4CBC-8F9A-1BE43FF894AD}">
  <dimension ref="B1:I12"/>
  <sheetViews>
    <sheetView showGridLines="0" zoomScale="66" zoomScaleNormal="96" workbookViewId="0">
      <selection activeCell="K19" sqref="K19"/>
    </sheetView>
  </sheetViews>
  <sheetFormatPr defaultRowHeight="14.4"/>
  <cols>
    <col min="1" max="1" width="8.88671875" style="9"/>
    <col min="2" max="2" width="15.5546875" style="9" customWidth="1"/>
    <col min="3" max="3" width="7" style="9" customWidth="1"/>
    <col min="4" max="4" width="15.5546875" style="9" customWidth="1"/>
    <col min="5" max="5" width="5.109375" style="9" customWidth="1"/>
    <col min="6" max="6" width="15.5546875" style="9" customWidth="1"/>
    <col min="7" max="7" width="7" style="9" customWidth="1"/>
    <col min="8" max="8" width="15.6640625" style="9" customWidth="1"/>
    <col min="9" max="9" width="5.109375" style="9" customWidth="1"/>
    <col min="10" max="16384" width="8.88671875" style="9"/>
  </cols>
  <sheetData>
    <row r="1" spans="2:9" ht="18">
      <c r="B1" s="10" t="s">
        <v>134</v>
      </c>
      <c r="C1" s="10"/>
      <c r="D1" s="10"/>
      <c r="E1" s="10"/>
      <c r="F1" s="10"/>
      <c r="G1" s="10"/>
      <c r="H1" s="10"/>
    </row>
    <row r="2" spans="2:9">
      <c r="B2" s="13" t="s">
        <v>135</v>
      </c>
      <c r="C2" s="13"/>
      <c r="D2" s="14"/>
      <c r="E2" s="14"/>
      <c r="F2" s="14"/>
      <c r="G2" s="14"/>
      <c r="H2" s="14"/>
    </row>
    <row r="4" spans="2:9">
      <c r="B4" s="12" t="s">
        <v>136</v>
      </c>
      <c r="C4" s="12"/>
      <c r="D4" s="12" t="s">
        <v>137</v>
      </c>
      <c r="E4" s="12"/>
      <c r="F4" s="12" t="s">
        <v>138</v>
      </c>
      <c r="G4" s="12"/>
      <c r="H4" s="12" t="s">
        <v>139</v>
      </c>
      <c r="I4" s="12"/>
    </row>
    <row r="5" spans="2:9">
      <c r="B5" s="15">
        <f>SUM(Raw_Data!H2:H101)</f>
        <v>1362610</v>
      </c>
      <c r="D5" s="16">
        <f>SUM(Raw_Data!F2:F101)</f>
        <v>2249</v>
      </c>
      <c r="E5" s="16"/>
      <c r="F5" s="16">
        <f>COUNTA(Raw_Data!A2:A101)</f>
        <v>100</v>
      </c>
      <c r="G5" s="16"/>
      <c r="H5" s="11">
        <f>B5/D5</f>
        <v>605.8737216540685</v>
      </c>
      <c r="I5" s="11"/>
    </row>
    <row r="6" spans="2:9">
      <c r="B6" s="15"/>
      <c r="D6" s="16"/>
      <c r="E6" s="16"/>
      <c r="F6" s="16"/>
      <c r="G6" s="16"/>
      <c r="H6" s="11"/>
      <c r="I6" s="11"/>
    </row>
    <row r="8" spans="2:9">
      <c r="B8" s="18" t="s">
        <v>140</v>
      </c>
      <c r="C8" s="18" t="s">
        <v>141</v>
      </c>
      <c r="D8" s="18" t="s">
        <v>142</v>
      </c>
      <c r="F8" s="19" t="s">
        <v>143</v>
      </c>
      <c r="G8" s="19" t="s">
        <v>141</v>
      </c>
      <c r="H8" s="19" t="s">
        <v>142</v>
      </c>
    </row>
    <row r="9" spans="2:9">
      <c r="B9" s="17" t="str">
        <f>Pivot_Engine!A2</f>
        <v>North America</v>
      </c>
      <c r="C9" s="17">
        <f>Pivot_Engine!B2</f>
        <v>706</v>
      </c>
      <c r="D9" s="17">
        <f>Pivot_Engine!C2</f>
        <v>440680</v>
      </c>
      <c r="F9" s="17" t="str">
        <f>Pivot_Engine!E2</f>
        <v>Hardware</v>
      </c>
      <c r="G9" s="17">
        <f>Pivot_Engine!F2</f>
        <v>805</v>
      </c>
      <c r="H9" s="17">
        <f>Pivot_Engine!G2</f>
        <v>623940</v>
      </c>
    </row>
    <row r="10" spans="2:9">
      <c r="B10" s="17" t="str">
        <f>Pivot_Engine!A3</f>
        <v xml:space="preserve"> Europe</v>
      </c>
      <c r="C10" s="17">
        <f>Pivot_Engine!B3</f>
        <v>0</v>
      </c>
      <c r="D10" s="17">
        <f>Pivot_Engine!C3</f>
        <v>0</v>
      </c>
      <c r="F10" s="17" t="str">
        <f>Pivot_Engine!E3</f>
        <v xml:space="preserve"> Software</v>
      </c>
      <c r="G10" s="17">
        <f>Pivot_Engine!F3</f>
        <v>0</v>
      </c>
      <c r="H10" s="17">
        <f>Pivot_Engine!G3</f>
        <v>0</v>
      </c>
    </row>
    <row r="11" spans="2:9">
      <c r="B11" s="17" t="str">
        <f>Pivot_Engine!A4</f>
        <v>Asia-Pacific</v>
      </c>
      <c r="C11" s="17">
        <f>Pivot_Engine!B4</f>
        <v>428</v>
      </c>
      <c r="D11" s="17">
        <f>Pivot_Engine!C4</f>
        <v>346750</v>
      </c>
      <c r="F11" s="17" t="str">
        <f>Pivot_Engine!E4</f>
        <v>Services</v>
      </c>
      <c r="G11" s="17">
        <f>Pivot_Engine!F4</f>
        <v>41</v>
      </c>
      <c r="H11" s="17">
        <f>Pivot_Engine!G4</f>
        <v>415000</v>
      </c>
    </row>
    <row r="12" spans="2:9">
      <c r="B12" s="17" t="str">
        <f>Pivot_Engine!A5</f>
        <v>Latin America</v>
      </c>
      <c r="C12" s="17">
        <f>Pivot_Engine!B5</f>
        <v>414</v>
      </c>
      <c r="D12" s="17">
        <f>Pivot_Engine!C5</f>
        <v>211360</v>
      </c>
    </row>
  </sheetData>
  <mergeCells count="9">
    <mergeCell ref="B1:H1"/>
    <mergeCell ref="B5:B6"/>
    <mergeCell ref="D5:E6"/>
    <mergeCell ref="F5:G6"/>
    <mergeCell ref="H5:I6"/>
    <mergeCell ref="D4:E4"/>
    <mergeCell ref="F4:G4"/>
    <mergeCell ref="H4:I4"/>
    <mergeCell ref="B4:C4"/>
  </mergeCells>
  <pageMargins left="0.7" right="0.7" top="0.75" bottom="0.75" header="0.3" footer="0.3"/>
  <drawing r:id="rId1"/>
  <tableParts count="2">
    <tablePart r:id="rId2"/>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80109-1C90-4210-90A7-6DB311EBECB0}">
  <dimension ref="A1:G5"/>
  <sheetViews>
    <sheetView tabSelected="1" zoomScale="165" workbookViewId="0">
      <selection activeCell="K10" sqref="K10"/>
    </sheetView>
  </sheetViews>
  <sheetFormatPr defaultRowHeight="14.4"/>
  <cols>
    <col min="1" max="1" width="17.44140625" style="4" customWidth="1"/>
    <col min="2" max="2" width="18.33203125" style="4" customWidth="1"/>
    <col min="3" max="3" width="17.88671875" style="20" customWidth="1"/>
    <col min="4" max="4" width="8.88671875" style="4"/>
    <col min="5" max="5" width="13.77734375" style="4" customWidth="1"/>
    <col min="6" max="6" width="20.88671875" style="4" customWidth="1"/>
    <col min="7" max="7" width="17.77734375" style="4" customWidth="1"/>
    <col min="8" max="16384" width="8.88671875" style="4"/>
  </cols>
  <sheetData>
    <row r="1" spans="1:7">
      <c r="A1" s="21" t="s">
        <v>144</v>
      </c>
      <c r="B1" s="21" t="s">
        <v>145</v>
      </c>
      <c r="C1" s="22" t="s">
        <v>146</v>
      </c>
      <c r="E1" s="21" t="s">
        <v>2</v>
      </c>
      <c r="F1" s="21" t="s">
        <v>150</v>
      </c>
      <c r="G1" s="21" t="s">
        <v>151</v>
      </c>
    </row>
    <row r="2" spans="1:7">
      <c r="A2" s="23" t="s">
        <v>147</v>
      </c>
      <c r="B2" s="23">
        <v>0</v>
      </c>
      <c r="C2" s="24">
        <v>0.05</v>
      </c>
      <c r="E2" s="23" t="s">
        <v>8</v>
      </c>
      <c r="F2" s="23">
        <v>500000</v>
      </c>
      <c r="G2" s="23" t="s">
        <v>11</v>
      </c>
    </row>
    <row r="3" spans="1:7">
      <c r="A3" s="23" t="s">
        <v>148</v>
      </c>
      <c r="B3" s="23">
        <v>50000</v>
      </c>
      <c r="C3" s="24">
        <v>0.08</v>
      </c>
      <c r="E3" s="23" t="s">
        <v>13</v>
      </c>
      <c r="F3" s="23">
        <v>400000</v>
      </c>
      <c r="G3" s="23" t="s">
        <v>16</v>
      </c>
    </row>
    <row r="4" spans="1:7">
      <c r="A4" s="23" t="s">
        <v>149</v>
      </c>
      <c r="B4" s="23">
        <v>150000</v>
      </c>
      <c r="C4" s="24">
        <v>0.12</v>
      </c>
      <c r="E4" s="23" t="s">
        <v>18</v>
      </c>
      <c r="F4" s="23">
        <v>350000</v>
      </c>
      <c r="G4" s="23" t="s">
        <v>20</v>
      </c>
    </row>
    <row r="5" spans="1:7">
      <c r="E5" s="23" t="s">
        <v>26</v>
      </c>
      <c r="F5" s="23">
        <v>250000</v>
      </c>
      <c r="G5" s="23" t="s">
        <v>28</v>
      </c>
    </row>
  </sheetData>
  <conditionalFormatting sqref="A2:C4">
    <cfRule type="expression" dxfId="1" priority="2">
      <formula>MOD(ROW(), 2)=0</formula>
    </cfRule>
  </conditionalFormatting>
  <conditionalFormatting sqref="E2:G5">
    <cfRule type="expression" dxfId="0" priority="1">
      <formula>MOD(ROW(), 2)=0</formula>
    </cfRule>
  </conditionalFormatting>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Pivot_Engine</vt:lpstr>
      <vt:lpstr>Dashboard</vt:lpstr>
      <vt:lpstr>Lookup_Reference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Anish Anish</dc:creator>
  <cp:lastModifiedBy>Anish Anish</cp:lastModifiedBy>
  <dcterms:created xsi:type="dcterms:W3CDTF">2026-10-28T23:20:53Z</dcterms:created>
  <dcterms:modified xsi:type="dcterms:W3CDTF">2026-10-29T01:32:48Z</dcterms:modified>
</cp:coreProperties>
</file>